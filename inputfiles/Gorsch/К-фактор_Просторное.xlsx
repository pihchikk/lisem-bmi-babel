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GIS\Gorsch\"/>
    </mc:Choice>
  </mc:AlternateContent>
  <xr:revisionPtr revIDLastSave="0" documentId="13_ncr:1_{042ECFE3-4EF6-4ADB-9FCB-4C4AD98D6CE7}" xr6:coauthVersionLast="44" xr6:coauthVersionMax="44" xr10:uidLastSave="{00000000-0000-0000-0000-000000000000}"/>
  <bookViews>
    <workbookView xWindow="22995" yWindow="5850" windowWidth="28800" windowHeight="15555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4" i="1"/>
  <c r="K25" i="1" l="1"/>
  <c r="O25" i="1"/>
  <c r="G24" i="1"/>
  <c r="H24" i="1"/>
  <c r="I24" i="1"/>
  <c r="J24" i="1"/>
  <c r="K24" i="1"/>
  <c r="G25" i="1"/>
  <c r="H25" i="1"/>
  <c r="I25" i="1"/>
  <c r="J25" i="1"/>
  <c r="G26" i="1"/>
  <c r="H26" i="1"/>
  <c r="I26" i="1"/>
  <c r="J26" i="1"/>
  <c r="K26" i="1"/>
  <c r="F26" i="1"/>
  <c r="F25" i="1"/>
  <c r="F24" i="1"/>
  <c r="M26" i="1" l="1"/>
  <c r="M25" i="1"/>
  <c r="M24" i="1"/>
  <c r="Q5" i="1" l="1"/>
  <c r="R5" i="1"/>
  <c r="S5" i="1"/>
  <c r="T5" i="1" s="1"/>
  <c r="Q6" i="1"/>
  <c r="R6" i="1"/>
  <c r="S6" i="1"/>
  <c r="T6" i="1"/>
  <c r="U6" i="1"/>
  <c r="Q7" i="1"/>
  <c r="S7" i="1" s="1"/>
  <c r="R7" i="1"/>
  <c r="Q8" i="1"/>
  <c r="R8" i="1"/>
  <c r="S8" i="1"/>
  <c r="Q9" i="1"/>
  <c r="R9" i="1"/>
  <c r="S9" i="1"/>
  <c r="Q10" i="1"/>
  <c r="S10" i="1" s="1"/>
  <c r="R10" i="1"/>
  <c r="Q11" i="1"/>
  <c r="S11" i="1" s="1"/>
  <c r="R11" i="1"/>
  <c r="Q12" i="1"/>
  <c r="R12" i="1"/>
  <c r="S12" i="1"/>
  <c r="T12" i="1" s="1"/>
  <c r="Q13" i="1"/>
  <c r="R13" i="1"/>
  <c r="S13" i="1" s="1"/>
  <c r="Q14" i="1"/>
  <c r="R14" i="1"/>
  <c r="Q15" i="1"/>
  <c r="S15" i="1" s="1"/>
  <c r="R15" i="1"/>
  <c r="Q16" i="1"/>
  <c r="R16" i="1"/>
  <c r="S16" i="1"/>
  <c r="T16" i="1" s="1"/>
  <c r="Q17" i="1"/>
  <c r="S17" i="1" s="1"/>
  <c r="R17" i="1"/>
  <c r="Q18" i="1"/>
  <c r="R18" i="1"/>
  <c r="S18" i="1" s="1"/>
  <c r="T18" i="1" s="1"/>
  <c r="U18" i="1" s="1"/>
  <c r="Q19" i="1"/>
  <c r="S19" i="1" s="1"/>
  <c r="R19" i="1"/>
  <c r="Q20" i="1"/>
  <c r="S20" i="1" s="1"/>
  <c r="T20" i="1" s="1"/>
  <c r="R20" i="1"/>
  <c r="Q21" i="1"/>
  <c r="R21" i="1"/>
  <c r="S21" i="1"/>
  <c r="T21" i="1" s="1"/>
  <c r="U21" i="1" s="1"/>
  <c r="Q22" i="1"/>
  <c r="S22" i="1" s="1"/>
  <c r="R22" i="1"/>
  <c r="Q23" i="1"/>
  <c r="S23" i="1" s="1"/>
  <c r="R23" i="1"/>
  <c r="R4" i="1"/>
  <c r="Q4" i="1"/>
  <c r="T13" i="1" l="1"/>
  <c r="U13" i="1" s="1"/>
  <c r="S14" i="1"/>
  <c r="U5" i="1"/>
  <c r="T9" i="1"/>
  <c r="U9" i="1" s="1"/>
  <c r="T8" i="1"/>
  <c r="U8" i="1" s="1"/>
  <c r="T17" i="1"/>
  <c r="U17" i="1" s="1"/>
  <c r="T22" i="1"/>
  <c r="U22" i="1" s="1"/>
  <c r="T10" i="1"/>
  <c r="U10" i="1" s="1"/>
  <c r="T15" i="1"/>
  <c r="U15" i="1" s="1"/>
  <c r="T14" i="1"/>
  <c r="U14" i="1" s="1"/>
  <c r="T11" i="1"/>
  <c r="U11" i="1" s="1"/>
  <c r="T7" i="1"/>
  <c r="U7" i="1" s="1"/>
  <c r="T19" i="1"/>
  <c r="U19" i="1" s="1"/>
  <c r="U20" i="1"/>
  <c r="U16" i="1"/>
  <c r="U12" i="1"/>
  <c r="T23" i="1"/>
  <c r="U23" i="1" s="1"/>
  <c r="X4" i="1" l="1"/>
  <c r="S4" i="1"/>
  <c r="AL4" i="1"/>
  <c r="W4" i="1" l="1"/>
  <c r="Y4" i="1" s="1"/>
  <c r="T4" i="1"/>
  <c r="U4" i="1"/>
  <c r="AL5" i="1"/>
  <c r="AL26" i="1" s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AL24" i="1" l="1"/>
  <c r="AL25" i="1"/>
  <c r="AC4" i="1"/>
  <c r="AD4" i="1"/>
  <c r="Z4" i="1"/>
  <c r="AA4" i="1" s="1"/>
  <c r="AC10" i="1"/>
  <c r="Y16" i="1"/>
  <c r="Z16" i="1" s="1"/>
  <c r="AC16" i="1"/>
  <c r="AC8" i="1"/>
  <c r="Y6" i="1"/>
  <c r="Z6" i="1" s="1"/>
  <c r="AC15" i="1"/>
  <c r="Y21" i="1"/>
  <c r="Z21" i="1" s="1"/>
  <c r="AA21" i="1" s="1"/>
  <c r="AE21" i="1" s="1"/>
  <c r="AI21" i="1" s="1"/>
  <c r="Y13" i="1"/>
  <c r="Z13" i="1" s="1"/>
  <c r="AA13" i="1" s="1"/>
  <c r="AE13" i="1" s="1"/>
  <c r="AI13" i="1" s="1"/>
  <c r="Y10" i="1"/>
  <c r="Z10" i="1" s="1"/>
  <c r="AA10" i="1" s="1"/>
  <c r="AE10" i="1" s="1"/>
  <c r="AI10" i="1" s="1"/>
  <c r="Y23" i="1"/>
  <c r="Z23" i="1" s="1"/>
  <c r="AA23" i="1" s="1"/>
  <c r="AE23" i="1" s="1"/>
  <c r="AI23" i="1" s="1"/>
  <c r="Y15" i="1"/>
  <c r="Z15" i="1" s="1"/>
  <c r="AA15" i="1" s="1"/>
  <c r="AE15" i="1" s="1"/>
  <c r="AI15" i="1" s="1"/>
  <c r="Y7" i="1"/>
  <c r="Z7" i="1" s="1"/>
  <c r="AA7" i="1" s="1"/>
  <c r="AE7" i="1" s="1"/>
  <c r="AI7" i="1" s="1"/>
  <c r="Y19" i="1"/>
  <c r="Z19" i="1" s="1"/>
  <c r="AA19" i="1" s="1"/>
  <c r="AE19" i="1" s="1"/>
  <c r="AI19" i="1" s="1"/>
  <c r="Y11" i="1"/>
  <c r="Z11" i="1" s="1"/>
  <c r="AA11" i="1" s="1"/>
  <c r="AE11" i="1" s="1"/>
  <c r="AI11" i="1" s="1"/>
  <c r="Y17" i="1"/>
  <c r="Z17" i="1" s="1"/>
  <c r="AA17" i="1" s="1"/>
  <c r="AE17" i="1" s="1"/>
  <c r="AI17" i="1" s="1"/>
  <c r="Y9" i="1"/>
  <c r="Z9" i="1" s="1"/>
  <c r="AA9" i="1" s="1"/>
  <c r="AE9" i="1" s="1"/>
  <c r="AI9" i="1" s="1"/>
  <c r="Y12" i="1"/>
  <c r="Z12" i="1" s="1"/>
  <c r="Y18" i="1"/>
  <c r="Z18" i="1" s="1"/>
  <c r="AA18" i="1" s="1"/>
  <c r="AE18" i="1" s="1"/>
  <c r="AI18" i="1" s="1"/>
  <c r="Y14" i="1"/>
  <c r="Z14" i="1" s="1"/>
  <c r="AA14" i="1" s="1"/>
  <c r="AE14" i="1" s="1"/>
  <c r="AI14" i="1" s="1"/>
  <c r="Y5" i="1"/>
  <c r="Z5" i="1" s="1"/>
  <c r="AA5" i="1" s="1"/>
  <c r="AE5" i="1" s="1"/>
  <c r="AI5" i="1" s="1"/>
  <c r="Y22" i="1"/>
  <c r="Z22" i="1" s="1"/>
  <c r="AA22" i="1" s="1"/>
  <c r="AE22" i="1" s="1"/>
  <c r="AI22" i="1" s="1"/>
  <c r="Y20" i="1"/>
  <c r="Z20" i="1" s="1"/>
  <c r="Y8" i="1"/>
  <c r="Z8" i="1" s="1"/>
  <c r="AH4" i="1" l="1"/>
  <c r="AE4" i="1"/>
  <c r="AI4" i="1" s="1"/>
  <c r="AK4" i="1" s="1"/>
  <c r="AO4" i="1" s="1"/>
  <c r="AG4" i="1"/>
  <c r="AA6" i="1"/>
  <c r="AE6" i="1" s="1"/>
  <c r="AI6" i="1" s="1"/>
  <c r="AA16" i="1"/>
  <c r="AE16" i="1" s="1"/>
  <c r="AI16" i="1" s="1"/>
  <c r="AC11" i="1"/>
  <c r="AG11" i="1" s="1"/>
  <c r="AC23" i="1"/>
  <c r="AG23" i="1" s="1"/>
  <c r="AG15" i="1"/>
  <c r="AG10" i="1"/>
  <c r="AA12" i="1"/>
  <c r="AE12" i="1" s="1"/>
  <c r="AI12" i="1" s="1"/>
  <c r="AD15" i="1"/>
  <c r="AD19" i="1"/>
  <c r="AH19" i="1" s="1"/>
  <c r="AC20" i="1"/>
  <c r="AD20" i="1"/>
  <c r="AC7" i="1"/>
  <c r="AG7" i="1" s="1"/>
  <c r="AD7" i="1"/>
  <c r="AH7" i="1" s="1"/>
  <c r="AC18" i="1"/>
  <c r="AG18" i="1" s="1"/>
  <c r="AD18" i="1"/>
  <c r="AH18" i="1" s="1"/>
  <c r="AC12" i="1"/>
  <c r="AD12" i="1"/>
  <c r="AD10" i="1"/>
  <c r="AD8" i="1"/>
  <c r="AA20" i="1"/>
  <c r="AE20" i="1" s="1"/>
  <c r="AI20" i="1" s="1"/>
  <c r="AA8" i="1"/>
  <c r="AE8" i="1" s="1"/>
  <c r="AI8" i="1" s="1"/>
  <c r="AD16" i="1"/>
  <c r="AD11" i="1" l="1"/>
  <c r="AH11" i="1" s="1"/>
  <c r="AK11" i="1" s="1"/>
  <c r="AO11" i="1" s="1"/>
  <c r="AD23" i="1"/>
  <c r="AH23" i="1" s="1"/>
  <c r="AK23" i="1" s="1"/>
  <c r="AO23" i="1" s="1"/>
  <c r="AG16" i="1"/>
  <c r="AH12" i="1"/>
  <c r="AG12" i="1"/>
  <c r="AC19" i="1"/>
  <c r="AG19" i="1" s="1"/>
  <c r="AK19" i="1" s="1"/>
  <c r="AO19" i="1" s="1"/>
  <c r="AK7" i="1"/>
  <c r="AO7" i="1" s="1"/>
  <c r="AH8" i="1"/>
  <c r="AH16" i="1"/>
  <c r="AH15" i="1"/>
  <c r="AK15" i="1" s="1"/>
  <c r="AO15" i="1" s="1"/>
  <c r="AH10" i="1"/>
  <c r="AK10" i="1" s="1"/>
  <c r="AO10" i="1" s="1"/>
  <c r="AK18" i="1"/>
  <c r="AO18" i="1" s="1"/>
  <c r="AH20" i="1"/>
  <c r="AG8" i="1"/>
  <c r="AG20" i="1"/>
  <c r="AC6" i="1"/>
  <c r="AG6" i="1" s="1"/>
  <c r="AD6" i="1"/>
  <c r="AH6" i="1" s="1"/>
  <c r="AC14" i="1"/>
  <c r="AG14" i="1" s="1"/>
  <c r="AD14" i="1"/>
  <c r="AH14" i="1" s="1"/>
  <c r="AC22" i="1"/>
  <c r="AG22" i="1" s="1"/>
  <c r="AD22" i="1"/>
  <c r="AH22" i="1" s="1"/>
  <c r="AC5" i="1"/>
  <c r="AG5" i="1" s="1"/>
  <c r="AD5" i="1"/>
  <c r="AH5" i="1" s="1"/>
  <c r="AC13" i="1"/>
  <c r="AG13" i="1" s="1"/>
  <c r="AD13" i="1"/>
  <c r="AH13" i="1" s="1"/>
  <c r="AC17" i="1"/>
  <c r="AG17" i="1" s="1"/>
  <c r="AD17" i="1"/>
  <c r="AH17" i="1" s="1"/>
  <c r="AC9" i="1"/>
  <c r="AG9" i="1" s="1"/>
  <c r="AD9" i="1"/>
  <c r="AC21" i="1"/>
  <c r="AG21" i="1" s="1"/>
  <c r="AD21" i="1"/>
  <c r="AH21" i="1" s="1"/>
  <c r="AK16" i="1" l="1"/>
  <c r="AO16" i="1" s="1"/>
  <c r="AK12" i="1"/>
  <c r="AO12" i="1" s="1"/>
  <c r="AK8" i="1"/>
  <c r="AO8" i="1" s="1"/>
  <c r="AK13" i="1"/>
  <c r="AO13" i="1" s="1"/>
  <c r="AK5" i="1"/>
  <c r="AO5" i="1" s="1"/>
  <c r="AK17" i="1"/>
  <c r="AO17" i="1" s="1"/>
  <c r="AK22" i="1"/>
  <c r="AO22" i="1" s="1"/>
  <c r="AK6" i="1"/>
  <c r="AO6" i="1" s="1"/>
  <c r="AK20" i="1"/>
  <c r="AO20" i="1" s="1"/>
  <c r="AH9" i="1"/>
  <c r="AK9" i="1" s="1"/>
  <c r="AO9" i="1" s="1"/>
  <c r="AK21" i="1"/>
  <c r="AO21" i="1" s="1"/>
  <c r="AK14" i="1"/>
  <c r="AO14" i="1" s="1"/>
  <c r="AO26" i="1" l="1"/>
  <c r="AO25" i="1"/>
  <c r="AO24" i="1"/>
</calcChain>
</file>

<file path=xl/sharedStrings.xml><?xml version="1.0" encoding="utf-8"?>
<sst xmlns="http://schemas.openxmlformats.org/spreadsheetml/2006/main" count="120" uniqueCount="78">
  <si>
    <t>1,0-0,25 мм/г</t>
  </si>
  <si>
    <t>0,25-0,05   мм/г</t>
  </si>
  <si>
    <t>0,05-0,01           мм/г</t>
  </si>
  <si>
    <t xml:space="preserve">физический песок % мм &gt;0,01 мм </t>
  </si>
  <si>
    <t>физическая глина % мм &lt; 0,01мм</t>
  </si>
  <si>
    <t xml:space="preserve">Код образца </t>
  </si>
  <si>
    <t>0,01-0,005    мм/г</t>
  </si>
  <si>
    <t>0,005-0,001   мм/г</t>
  </si>
  <si>
    <t>&lt;0,001 мм/г</t>
  </si>
  <si>
    <t>Массовая доля органического вещества, %</t>
  </si>
  <si>
    <t>&lt;0,005 мм/г</t>
  </si>
  <si>
    <t>k-коэфф</t>
  </si>
  <si>
    <t>b-коэфф</t>
  </si>
  <si>
    <t>&lt;0,002 мм/г</t>
  </si>
  <si>
    <t>&lt;0,1 мм/г</t>
  </si>
  <si>
    <t>&lt;0,25 мм/г</t>
  </si>
  <si>
    <t>&lt;0,05 мм/г</t>
  </si>
  <si>
    <t>clay fraction content % (b0.002 mm);</t>
  </si>
  <si>
    <t>silt fraction content % (0.002–0.05 mm);</t>
  </si>
  <si>
    <t>very fine sand fraction content % (0.05–0.1 mm);</t>
  </si>
  <si>
    <r>
      <t>the textural factor with M = (m</t>
    </r>
    <r>
      <rPr>
        <vertAlign val="subscript"/>
        <sz val="11"/>
        <color theme="1"/>
        <rFont val="Calibri"/>
        <family val="2"/>
        <charset val="204"/>
        <scheme val="minor"/>
      </rPr>
      <t>silt</t>
    </r>
    <r>
      <rPr>
        <sz val="11"/>
        <color theme="1"/>
        <rFont val="Calibri"/>
        <family val="2"/>
        <charset val="204"/>
        <scheme val="minor"/>
      </rPr>
      <t>+m</t>
    </r>
    <r>
      <rPr>
        <vertAlign val="subscript"/>
        <sz val="11"/>
        <color theme="1"/>
        <rFont val="Calibri"/>
        <family val="2"/>
        <charset val="204"/>
        <scheme val="minor"/>
      </rPr>
      <t>vfs</t>
    </r>
    <r>
      <rPr>
        <sz val="11"/>
        <color theme="1"/>
        <rFont val="Calibri"/>
        <family val="2"/>
        <charset val="204"/>
        <scheme val="minor"/>
      </rPr>
      <t>) ∗ (100 − m</t>
    </r>
    <r>
      <rPr>
        <vertAlign val="subscript"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charset val="204"/>
        <scheme val="minor"/>
      </rPr>
      <t>);</t>
    </r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</si>
  <si>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c</t>
    </r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</si>
  <si>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silt</t>
    </r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</si>
  <si>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vfc</t>
    </r>
  </si>
  <si>
    <t>M</t>
  </si>
  <si>
    <t>OM</t>
  </si>
  <si>
    <t>the organic matter content %;</t>
  </si>
  <si>
    <t>the soil structure class (Table 1 см. внизу);</t>
  </si>
  <si>
    <t>Table 1</t>
  </si>
  <si>
    <t>Classes of soil structure derived the European Soil Database.</t>
  </si>
  <si>
    <t>Structure class (s) European Soil Database</t>
  </si>
  <si>
    <t>1 (very fine granular: 1–2 mm) G (good)</t>
  </si>
  <si>
    <t>2 (fine granular: 2–5 mm) N (normal)</t>
  </si>
  <si>
    <t>3 (medium or coarse granular: 5–10 mm) P (poor)</t>
  </si>
  <si>
    <t>4 (blocky, platy or massive: N10 mm) H (humic or peaty top soil)</t>
  </si>
  <si>
    <t>Table 2</t>
  </si>
  <si>
    <t>Soil permeability classes and saturated hydraulic conductivity ranges estimated from</t>
  </si>
  <si>
    <t>major soil textural classes.</t>
  </si>
  <si>
    <t>Permeability class (p) Texture Saturated hydraulic</t>
  </si>
  <si>
    <t>conductivity, mm h−1</t>
  </si>
  <si>
    <t>1 (fast and very fast) Sand N61.0</t>
  </si>
  <si>
    <t>2 (moderate fast) Loamy sand, sandy loam 20.3–61.0</t>
  </si>
  <si>
    <t>3 (moderate) Loam, silty loam 5.1–20.3</t>
  </si>
  <si>
    <t>4 (moderate low) Sandy clay loam, clay loam 2.0–5.1</t>
  </si>
  <si>
    <t>5 (slow) Silty clay loam, sand clay 1.0–2.0</t>
  </si>
  <si>
    <t>6 (very slow) Silty clay, clay b1.0</t>
  </si>
  <si>
    <t>K-factor</t>
  </si>
  <si>
    <t>p (table 2 см. внизу)</t>
  </si>
  <si>
    <t>По Качинскому</t>
  </si>
  <si>
    <t>Среднее</t>
  </si>
  <si>
    <t>минимум</t>
  </si>
  <si>
    <t>максимум</t>
  </si>
  <si>
    <t>Перерасчёт на 100%</t>
  </si>
  <si>
    <t>Это 100%</t>
  </si>
  <si>
    <t>Номер точки</t>
  </si>
  <si>
    <t>Номер пробы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</si>
  <si>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</si>
  <si>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</si>
  <si>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</si>
  <si>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</si>
  <si>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</si>
  <si>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</si>
  <si>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</si>
  <si>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</si>
  <si>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</si>
  <si>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</si>
  <si>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</si>
  <si>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</si>
  <si>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</si>
  <si>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</si>
  <si>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</si>
  <si>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GP16</t>
  </si>
  <si>
    <t>GP17</t>
  </si>
  <si>
    <t>GP18</t>
  </si>
  <si>
    <t>GP19</t>
  </si>
  <si>
    <t>GP20</t>
  </si>
  <si>
    <t>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</si>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</sst>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Fill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6" fontId="0" fillId="0" borderId="0" xfId="0" applyNumberFormat="1" applyFill="1"/>
    <xf numFmtId="164" fontId="0" fillId="0" borderId="0" xfId="0" applyNumberFormat="1" applyFill="1"/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" fontId="3" fillId="0" borderId="8" xfId="0" applyNumberFormat="1" applyFont="1" applyBorder="1"/>
    <xf numFmtId="0" fontId="0" fillId="0" borderId="0" xfId="0" applyBorder="1" applyAlignment="1">
      <alignment horizontal="center" vertical="center" wrapText="1"/>
    </xf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Font="1"/>
    <xf numFmtId="1" fontId="3" fillId="0" borderId="0" xfId="0" applyNumberFormat="1" applyFont="1" applyFill="1" applyBorder="1"/>
    <xf numFmtId="0" fontId="10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/>
    <xf numFmtId="2" fontId="11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166" fontId="0" fillId="0" borderId="0" xfId="0" applyNumberFormat="1" applyBorder="1"/>
    <xf numFmtId="0" fontId="0" fillId="2" borderId="0" xfId="0" applyFill="1" applyBorder="1"/>
    <xf numFmtId="0" fontId="8" fillId="0" borderId="1" xfId="0" applyFont="1" applyBorder="1"/>
    <xf numFmtId="0" fontId="8" fillId="0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164" fontId="3" fillId="0" borderId="0" xfId="0" applyNumberFormat="1" applyFont="1" applyFill="1" applyBorder="1"/>
    <xf numFmtId="0" fontId="13" fillId="0" borderId="1" xfId="0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2" fontId="12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</cellXfs>
  <cellStyles count="2">
    <cellStyle name="Обычный" xfId="0" builtinId="0"/>
    <cellStyle name="Обычный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228600</xdr:colOff>
      <xdr:row>0</xdr:row>
      <xdr:rowOff>0</xdr:rowOff>
    </xdr:from>
    <xdr:to>
      <xdr:col>60</xdr:col>
      <xdr:colOff>350900</xdr:colOff>
      <xdr:row>20</xdr:row>
      <xdr:rowOff>117297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465FECB-9B7C-43AD-8A53-0B6E3511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83300" y="0"/>
          <a:ext cx="4389500" cy="5273497"/>
        </a:xfrm>
        <a:prstGeom prst="rect">
          <a:avLst/>
        </a:prstGeom>
      </xdr:spPr>
    </xdr:pic>
    <xdr:clientData/>
  </xdr:twoCellAnchor>
  <xdr:twoCellAnchor editAs="oneCell">
    <xdr:from>
      <xdr:col>52</xdr:col>
      <xdr:colOff>63500</xdr:colOff>
      <xdr:row>18</xdr:row>
      <xdr:rowOff>217356</xdr:rowOff>
    </xdr:from>
    <xdr:to>
      <xdr:col>62</xdr:col>
      <xdr:colOff>292100</xdr:colOff>
      <xdr:row>27</xdr:row>
      <xdr:rowOff>207519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315B628-2B0C-41CC-9B90-222EF73F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08600" y="4916356"/>
          <a:ext cx="6324600" cy="2047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"/>
  <sheetViews>
    <sheetView tabSelected="1" topLeftCell="AA1" zoomScale="90" zoomScaleNormal="90" workbookViewId="0">
      <selection activeCell="AC12" sqref="AC12"/>
    </sheetView>
  </sheetViews>
  <sheetFormatPr defaultRowHeight="15" x14ac:dyDescent="0.25"/>
  <cols>
    <col min="1" max="2" width="11.7109375" style="5" customWidth="1"/>
    <col min="3" max="5" width="16.7109375" customWidth="1"/>
    <col min="6" max="6" width="16.7109375" style="23" customWidth="1"/>
    <col min="7" max="7" width="16.5703125" customWidth="1"/>
    <col min="8" max="10" width="14.28515625" customWidth="1"/>
    <col min="11" max="11" width="12" customWidth="1"/>
    <col min="12" max="12" width="12.28515625" customWidth="1"/>
    <col min="13" max="13" width="11.28515625" customWidth="1"/>
    <col min="15" max="15" width="15.7109375" customWidth="1"/>
    <col min="29" max="37" width="16.28515625" customWidth="1"/>
    <col min="38" max="38" width="10.28515625" customWidth="1"/>
    <col min="39" max="39" width="21.28515625" customWidth="1"/>
    <col min="40" max="40" width="10.5703125" customWidth="1"/>
    <col min="41" max="41" width="11.28515625" bestFit="1" customWidth="1"/>
  </cols>
  <sheetData>
    <row r="1" spans="1:44" ht="18.75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AA1" s="16" t="s">
        <v>53</v>
      </c>
      <c r="AG1" s="53" t="s">
        <v>52</v>
      </c>
      <c r="AH1" s="53"/>
      <c r="AI1" s="53"/>
    </row>
    <row r="2" spans="1:44" ht="20.25" thickBot="1" x14ac:dyDescent="0.4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  <c r="Q2">
        <v>5.0000000000000001E-3</v>
      </c>
      <c r="R2">
        <v>1E-3</v>
      </c>
      <c r="U2">
        <v>2E-3</v>
      </c>
      <c r="W2">
        <v>0.25</v>
      </c>
      <c r="X2">
        <v>0.05</v>
      </c>
      <c r="AA2">
        <v>0.1</v>
      </c>
      <c r="AC2" t="s">
        <v>21</v>
      </c>
      <c r="AD2" t="s">
        <v>22</v>
      </c>
      <c r="AE2" t="s">
        <v>23</v>
      </c>
      <c r="AG2" t="s">
        <v>21</v>
      </c>
      <c r="AH2" t="s">
        <v>22</v>
      </c>
      <c r="AI2" t="s">
        <v>23</v>
      </c>
      <c r="AK2" t="s">
        <v>24</v>
      </c>
      <c r="AL2" t="s">
        <v>25</v>
      </c>
      <c r="AN2" s="53" t="s">
        <v>48</v>
      </c>
      <c r="AO2" s="54"/>
    </row>
    <row r="3" spans="1:44" ht="75" x14ac:dyDescent="0.25">
      <c r="A3" s="18" t="s">
        <v>54</v>
      </c>
      <c r="B3" s="18" t="s">
        <v>55</v>
      </c>
      <c r="C3" s="1" t="s">
        <v>5</v>
      </c>
      <c r="D3" s="1"/>
      <c r="E3" s="1"/>
      <c r="F3" s="21" t="s">
        <v>0</v>
      </c>
      <c r="G3" s="1" t="s">
        <v>1</v>
      </c>
      <c r="H3" s="1" t="s">
        <v>2</v>
      </c>
      <c r="I3" s="1" t="s">
        <v>6</v>
      </c>
      <c r="J3" s="1" t="s">
        <v>7</v>
      </c>
      <c r="K3" s="1" t="s">
        <v>8</v>
      </c>
      <c r="L3" s="1" t="s">
        <v>3</v>
      </c>
      <c r="M3" s="1" t="s">
        <v>4</v>
      </c>
      <c r="N3" s="31"/>
      <c r="O3" s="1" t="s">
        <v>9</v>
      </c>
      <c r="Q3" s="30" t="s">
        <v>10</v>
      </c>
      <c r="R3" s="30" t="s">
        <v>8</v>
      </c>
      <c r="S3" s="33" t="s">
        <v>11</v>
      </c>
      <c r="T3" s="33" t="s">
        <v>12</v>
      </c>
      <c r="U3" s="30" t="s">
        <v>13</v>
      </c>
      <c r="W3" s="30" t="s">
        <v>15</v>
      </c>
      <c r="X3" s="30" t="s">
        <v>16</v>
      </c>
      <c r="Y3" s="33" t="s">
        <v>11</v>
      </c>
      <c r="Z3" s="2" t="s">
        <v>12</v>
      </c>
      <c r="AA3" s="1" t="s">
        <v>14</v>
      </c>
      <c r="AB3" s="15"/>
      <c r="AC3" s="1" t="s">
        <v>17</v>
      </c>
      <c r="AD3" s="1" t="s">
        <v>18</v>
      </c>
      <c r="AE3" s="1" t="s">
        <v>19</v>
      </c>
      <c r="AF3" s="15"/>
      <c r="AG3" s="1" t="s">
        <v>17</v>
      </c>
      <c r="AH3" s="1" t="s">
        <v>18</v>
      </c>
      <c r="AI3" s="1" t="s">
        <v>19</v>
      </c>
      <c r="AJ3" s="15"/>
      <c r="AK3" s="1" t="s">
        <v>20</v>
      </c>
      <c r="AL3" s="1" t="s">
        <v>26</v>
      </c>
      <c r="AM3" s="1" t="s">
        <v>27</v>
      </c>
      <c r="AN3" s="12" t="s">
        <v>47</v>
      </c>
      <c r="AO3" s="13" t="s">
        <v>46</v>
      </c>
      <c r="AR3" s="3" t="s">
        <v>28</v>
      </c>
    </row>
    <row r="4" spans="1:44" ht="18.75" x14ac:dyDescent="0.25">
      <c r="A4" s="19">
        <v>1</v>
      </c>
      <c r="B4" s="20"/>
      <c r="C4" s="43" t="s">
        <v>56</v>
      </c>
      <c r="D4" s="17"/>
      <c r="E4" s="17"/>
      <c r="F4" s="22">
        <v>0.94</v>
      </c>
      <c r="G4" s="20">
        <v>3.17</v>
      </c>
      <c r="H4" s="20">
        <v>36.11</v>
      </c>
      <c r="I4" s="20">
        <v>11.65</v>
      </c>
      <c r="J4" s="39">
        <v>16.100000000000001</v>
      </c>
      <c r="K4" s="20">
        <v>32.03</v>
      </c>
      <c r="L4" s="29">
        <v>40.22</v>
      </c>
      <c r="M4" s="29">
        <v>59.78</v>
      </c>
      <c r="N4" s="39"/>
      <c r="O4" s="32">
        <v>8.5734463276836159</v>
      </c>
      <c r="P4" s="36">
        <f>O4/1.724</f>
        <v>4.9729967097932803</v>
      </c>
      <c r="Q4" s="27">
        <f>J4+K4</f>
        <v>48.13</v>
      </c>
      <c r="R4" s="27">
        <f>K4</f>
        <v>32.03</v>
      </c>
      <c r="S4" s="34">
        <f>(Q4-R4)/($Q$2-$R$2)</f>
        <v>4025.0000000000005</v>
      </c>
      <c r="T4" s="35">
        <f>Q4-S4*$Q$2</f>
        <v>28.004999999999999</v>
      </c>
      <c r="U4" s="36">
        <f>S4*$U$2+T4</f>
        <v>36.055</v>
      </c>
      <c r="V4" s="27"/>
      <c r="W4" s="27">
        <f t="shared" ref="W4:W23" si="0">SUM(G4:K4)</f>
        <v>99.06</v>
      </c>
      <c r="X4" s="37">
        <f t="shared" ref="X4:X23" si="1">SUM(H4:K4)</f>
        <v>95.89</v>
      </c>
      <c r="Y4" s="36">
        <f>(W4-X4)/($W$2-$X$2)</f>
        <v>15.850000000000009</v>
      </c>
      <c r="Z4" s="7">
        <f>W4-Y4*$W$2</f>
        <v>95.097499999999997</v>
      </c>
      <c r="AA4" s="8">
        <f>Y4*$AA$2+Z4</f>
        <v>96.682500000000005</v>
      </c>
      <c r="AB4" s="8"/>
      <c r="AC4" s="9">
        <f t="shared" ref="AC4:AC23" si="2">U4</f>
        <v>36.055</v>
      </c>
      <c r="AD4" s="9">
        <f>X4-U4</f>
        <v>59.835000000000001</v>
      </c>
      <c r="AE4" s="9">
        <f>AA4-X4</f>
        <v>0.79250000000000398</v>
      </c>
      <c r="AF4" s="9"/>
      <c r="AG4" s="9">
        <f>AC4/AA4*100</f>
        <v>37.292167662193258</v>
      </c>
      <c r="AH4" s="9">
        <f>AD4/AA4*100</f>
        <v>61.888139011713591</v>
      </c>
      <c r="AI4" s="9">
        <f>AE4/AA4*100</f>
        <v>0.81969332609314394</v>
      </c>
      <c r="AJ4" s="9"/>
      <c r="AK4" s="6">
        <f>(AH4+AI4)*(100-AG4)</f>
        <v>3932.2722365064806</v>
      </c>
      <c r="AL4" s="9">
        <f>O4</f>
        <v>8.5734463276836159</v>
      </c>
      <c r="AM4">
        <v>3</v>
      </c>
      <c r="AN4">
        <v>5</v>
      </c>
      <c r="AO4" s="14">
        <f>((2.1*10^(-4)*AK4^1.14*(12-AL4)+3.25*(AM4-2)+2.5*(AN4-3))/100)*0.1317*1000</f>
        <v>22.738135684384531</v>
      </c>
      <c r="AR4" s="3" t="s">
        <v>29</v>
      </c>
    </row>
    <row r="5" spans="1:44" ht="18.75" x14ac:dyDescent="0.25">
      <c r="A5" s="19">
        <v>2</v>
      </c>
      <c r="B5" s="20"/>
      <c r="C5" s="43" t="s">
        <v>57</v>
      </c>
      <c r="D5" s="17"/>
      <c r="E5" s="17"/>
      <c r="F5" s="22">
        <v>0.53</v>
      </c>
      <c r="G5" s="20">
        <v>3</v>
      </c>
      <c r="H5" s="20">
        <v>33.299999999999997</v>
      </c>
      <c r="I5" s="20">
        <v>11.93</v>
      </c>
      <c r="J5" s="39">
        <v>16.170000000000002</v>
      </c>
      <c r="K5" s="20">
        <v>35.07</v>
      </c>
      <c r="L5" s="29">
        <v>36.83</v>
      </c>
      <c r="M5" s="29">
        <v>63.17</v>
      </c>
      <c r="N5" s="39"/>
      <c r="O5" s="32">
        <v>5.8185670261941453</v>
      </c>
      <c r="P5" s="36">
        <f t="shared" ref="P5:P23" si="3">O5/1.724</f>
        <v>3.3750388783028686</v>
      </c>
      <c r="Q5" s="27">
        <f t="shared" ref="Q5:Q23" si="4">J5+K5</f>
        <v>51.24</v>
      </c>
      <c r="R5" s="27">
        <f t="shared" ref="R5:R23" si="5">K5</f>
        <v>35.07</v>
      </c>
      <c r="S5" s="34">
        <f t="shared" ref="S5:S23" si="6">(Q5-R5)/($Q$2-$R$2)</f>
        <v>4042.5000000000005</v>
      </c>
      <c r="T5" s="35">
        <f t="shared" ref="T5:T23" si="7">Q5-S5*$Q$2</f>
        <v>31.0275</v>
      </c>
      <c r="U5" s="36">
        <f t="shared" ref="U5:U23" si="8">S5*$U$2+T5</f>
        <v>39.112499999999997</v>
      </c>
      <c r="V5" s="27"/>
      <c r="W5" s="27">
        <f t="shared" si="0"/>
        <v>99.47</v>
      </c>
      <c r="X5" s="37">
        <f t="shared" si="1"/>
        <v>96.47</v>
      </c>
      <c r="Y5" s="36">
        <f t="shared" ref="Y5:Y23" si="9">(W5-X5)/($W$2-$X$2)</f>
        <v>15</v>
      </c>
      <c r="Z5" s="7">
        <f t="shared" ref="Z5:Z23" si="10">W5-Y5*$W$2</f>
        <v>95.72</v>
      </c>
      <c r="AA5" s="8">
        <f t="shared" ref="AA5:AA23" si="11">Y5*$AA$2+Z5</f>
        <v>97.22</v>
      </c>
      <c r="AB5" s="8"/>
      <c r="AC5" s="9">
        <f t="shared" si="2"/>
        <v>39.112499999999997</v>
      </c>
      <c r="AD5" s="9">
        <f t="shared" ref="AD5:AD23" si="12">X5-U5</f>
        <v>57.357500000000002</v>
      </c>
      <c r="AE5" s="9">
        <f t="shared" ref="AE5:AE23" si="13">AA5-X5</f>
        <v>0.75</v>
      </c>
      <c r="AF5" s="9"/>
      <c r="AG5" s="9">
        <f t="shared" ref="AG5:AG23" si="14">AC5/AA5*100</f>
        <v>40.230919563875744</v>
      </c>
      <c r="AH5" s="9">
        <f t="shared" ref="AH5:AH23" si="15">AD5/AA5*100</f>
        <v>58.997634231639587</v>
      </c>
      <c r="AI5" s="9">
        <f t="shared" ref="AI5:AI23" si="16">AE5/AA5*100</f>
        <v>0.77144620448467394</v>
      </c>
      <c r="AJ5" s="9"/>
      <c r="AK5" s="6">
        <f t="shared" ref="AK5:AK23" si="17">(AH5+AI5)*(100-AG5)</f>
        <v>3572.3429761798916</v>
      </c>
      <c r="AL5" s="9">
        <f t="shared" ref="AL5:AL23" si="18">O5</f>
        <v>5.8185670261941453</v>
      </c>
      <c r="AM5">
        <v>3</v>
      </c>
      <c r="AN5">
        <v>5</v>
      </c>
      <c r="AO5" s="14">
        <f>((2.1*10^(-4)*AK5^1.14*(12-AL5)+3.25*(AM5-2)+2.5*(AN5-3))/100)*0.1317*1000</f>
        <v>30.063463771927115</v>
      </c>
      <c r="AR5" s="3" t="s">
        <v>30</v>
      </c>
    </row>
    <row r="6" spans="1:44" ht="18.75" x14ac:dyDescent="0.25">
      <c r="A6" s="19">
        <v>3</v>
      </c>
      <c r="B6" s="20"/>
      <c r="C6" s="43" t="s">
        <v>58</v>
      </c>
      <c r="D6" s="17"/>
      <c r="E6" s="17"/>
      <c r="F6" s="22">
        <v>0.45</v>
      </c>
      <c r="G6" s="20">
        <v>1.19</v>
      </c>
      <c r="H6" s="20">
        <v>38.72</v>
      </c>
      <c r="I6" s="20">
        <v>11.8</v>
      </c>
      <c r="J6" s="39">
        <v>17.049999999999997</v>
      </c>
      <c r="K6" s="20">
        <v>30.79</v>
      </c>
      <c r="L6" s="29">
        <v>40.36</v>
      </c>
      <c r="M6" s="29">
        <v>59.64</v>
      </c>
      <c r="N6" s="39"/>
      <c r="O6" s="32">
        <v>6.4636803874092008</v>
      </c>
      <c r="P6" s="36">
        <f t="shared" si="3"/>
        <v>3.7492345634624136</v>
      </c>
      <c r="Q6" s="27">
        <f t="shared" si="4"/>
        <v>47.839999999999996</v>
      </c>
      <c r="R6" s="27">
        <f t="shared" si="5"/>
        <v>30.79</v>
      </c>
      <c r="S6" s="34">
        <f t="shared" si="6"/>
        <v>4262.4999999999991</v>
      </c>
      <c r="T6" s="35">
        <f t="shared" si="7"/>
        <v>26.5275</v>
      </c>
      <c r="U6" s="36">
        <f t="shared" si="8"/>
        <v>35.052499999999995</v>
      </c>
      <c r="V6" s="27"/>
      <c r="W6" s="27">
        <f t="shared" si="0"/>
        <v>99.549999999999983</v>
      </c>
      <c r="X6" s="37">
        <f t="shared" si="1"/>
        <v>98.359999999999985</v>
      </c>
      <c r="Y6" s="36">
        <f t="shared" si="9"/>
        <v>5.9499999999999886</v>
      </c>
      <c r="Z6" s="7">
        <f t="shared" si="10"/>
        <v>98.062499999999986</v>
      </c>
      <c r="AA6" s="8">
        <f t="shared" si="11"/>
        <v>98.657499999999985</v>
      </c>
      <c r="AB6" s="8"/>
      <c r="AC6" s="9">
        <f t="shared" si="2"/>
        <v>35.052499999999995</v>
      </c>
      <c r="AD6" s="9">
        <f t="shared" si="12"/>
        <v>63.30749999999999</v>
      </c>
      <c r="AE6" s="9">
        <f t="shared" si="13"/>
        <v>0.29749999999999943</v>
      </c>
      <c r="AF6" s="9"/>
      <c r="AG6" s="9">
        <f t="shared" si="14"/>
        <v>35.529483313483517</v>
      </c>
      <c r="AH6" s="9">
        <f t="shared" si="15"/>
        <v>64.168968400780486</v>
      </c>
      <c r="AI6" s="9">
        <f t="shared" si="16"/>
        <v>0.30154828573600534</v>
      </c>
      <c r="AJ6" s="9"/>
      <c r="AK6" s="6">
        <f t="shared" si="17"/>
        <v>4156.4475218264006</v>
      </c>
      <c r="AL6" s="9">
        <f t="shared" si="18"/>
        <v>6.4636803874092008</v>
      </c>
      <c r="AM6">
        <v>3</v>
      </c>
      <c r="AN6">
        <v>5</v>
      </c>
      <c r="AO6" s="14">
        <f t="shared" ref="AO6:AO23" si="19">((2.1*10^(-4)*AK6^1.14*(12-AL6)+3.25*(AM6-2)+2.5*(AN6-3))/100)*0.1317*1000</f>
        <v>31.300014994434065</v>
      </c>
      <c r="AR6" s="3" t="s">
        <v>31</v>
      </c>
    </row>
    <row r="7" spans="1:44" ht="18.75" x14ac:dyDescent="0.25">
      <c r="A7" s="19">
        <v>4</v>
      </c>
      <c r="B7" s="20"/>
      <c r="C7" s="43" t="s">
        <v>59</v>
      </c>
      <c r="D7" s="17"/>
      <c r="E7" s="17"/>
      <c r="F7" s="22">
        <v>0.56000000000000005</v>
      </c>
      <c r="G7" s="40">
        <v>2.42</v>
      </c>
      <c r="H7" s="40">
        <v>36.369999999999997</v>
      </c>
      <c r="I7" s="40">
        <v>12.52</v>
      </c>
      <c r="J7" s="39">
        <v>16.8</v>
      </c>
      <c r="K7" s="40">
        <v>31.33</v>
      </c>
      <c r="L7" s="29">
        <v>39.35</v>
      </c>
      <c r="M7" s="29">
        <v>60.65</v>
      </c>
      <c r="N7" s="39"/>
      <c r="O7" s="32">
        <v>5.9452411994784873</v>
      </c>
      <c r="P7" s="36">
        <f t="shared" si="3"/>
        <v>3.4485157769596793</v>
      </c>
      <c r="Q7" s="27">
        <f t="shared" si="4"/>
        <v>48.129999999999995</v>
      </c>
      <c r="R7" s="27">
        <f t="shared" si="5"/>
        <v>31.33</v>
      </c>
      <c r="S7" s="34">
        <f t="shared" si="6"/>
        <v>4199.9999999999991</v>
      </c>
      <c r="T7" s="35">
        <f t="shared" si="7"/>
        <v>27.13</v>
      </c>
      <c r="U7" s="36">
        <f t="shared" si="8"/>
        <v>35.53</v>
      </c>
      <c r="V7" s="27"/>
      <c r="W7" s="27">
        <f t="shared" si="0"/>
        <v>99.44</v>
      </c>
      <c r="X7" s="37">
        <f t="shared" si="1"/>
        <v>97.02</v>
      </c>
      <c r="Y7" s="36">
        <f t="shared" si="9"/>
        <v>12.100000000000009</v>
      </c>
      <c r="Z7" s="7">
        <f t="shared" si="10"/>
        <v>96.414999999999992</v>
      </c>
      <c r="AA7" s="8">
        <f t="shared" si="11"/>
        <v>97.625</v>
      </c>
      <c r="AB7" s="8"/>
      <c r="AC7" s="9">
        <f t="shared" si="2"/>
        <v>35.53</v>
      </c>
      <c r="AD7" s="9">
        <f t="shared" si="12"/>
        <v>61.489999999999995</v>
      </c>
      <c r="AE7" s="9">
        <f t="shared" si="13"/>
        <v>0.60500000000000398</v>
      </c>
      <c r="AF7" s="9"/>
      <c r="AG7" s="9">
        <f t="shared" si="14"/>
        <v>36.394366197183096</v>
      </c>
      <c r="AH7" s="9">
        <f t="shared" si="15"/>
        <v>62.985915492957744</v>
      </c>
      <c r="AI7" s="9">
        <f t="shared" si="16"/>
        <v>0.61971830985915899</v>
      </c>
      <c r="AJ7" s="9"/>
      <c r="AK7" s="6">
        <f t="shared" si="17"/>
        <v>4045.6766514580445</v>
      </c>
      <c r="AL7" s="9">
        <f t="shared" si="18"/>
        <v>5.9452411994784873</v>
      </c>
      <c r="AM7">
        <v>3</v>
      </c>
      <c r="AN7">
        <v>5</v>
      </c>
      <c r="AO7" s="14">
        <f t="shared" si="19"/>
        <v>32.535895588755523</v>
      </c>
      <c r="AR7" s="3" t="s">
        <v>32</v>
      </c>
    </row>
    <row r="8" spans="1:44" ht="18.75" x14ac:dyDescent="0.25">
      <c r="A8" s="19">
        <v>5</v>
      </c>
      <c r="B8" s="20"/>
      <c r="C8" s="43" t="s">
        <v>60</v>
      </c>
      <c r="D8" s="17"/>
      <c r="E8" s="17"/>
      <c r="F8" s="22">
        <v>0.36</v>
      </c>
      <c r="G8" s="40">
        <v>2.2400000000000002</v>
      </c>
      <c r="H8" s="40">
        <v>37.51</v>
      </c>
      <c r="I8" s="40">
        <v>13.61</v>
      </c>
      <c r="J8" s="39">
        <v>15.91</v>
      </c>
      <c r="K8" s="40">
        <v>30.37</v>
      </c>
      <c r="L8" s="29">
        <v>40.11</v>
      </c>
      <c r="M8" s="29">
        <v>59.89</v>
      </c>
      <c r="N8" s="39"/>
      <c r="O8" s="32">
        <v>6.38972323535722</v>
      </c>
      <c r="P8" s="36">
        <f t="shared" si="3"/>
        <v>3.7063359833858587</v>
      </c>
      <c r="Q8" s="27">
        <f t="shared" si="4"/>
        <v>46.28</v>
      </c>
      <c r="R8" s="27">
        <f t="shared" si="5"/>
        <v>30.37</v>
      </c>
      <c r="S8" s="34">
        <f t="shared" si="6"/>
        <v>3977.5</v>
      </c>
      <c r="T8" s="35">
        <f t="shared" si="7"/>
        <v>26.392500000000002</v>
      </c>
      <c r="U8" s="36">
        <f t="shared" si="8"/>
        <v>34.347500000000004</v>
      </c>
      <c r="V8" s="27"/>
      <c r="W8" s="27">
        <f t="shared" si="0"/>
        <v>99.64</v>
      </c>
      <c r="X8" s="37">
        <f t="shared" si="1"/>
        <v>97.4</v>
      </c>
      <c r="Y8" s="36">
        <f t="shared" si="9"/>
        <v>11.199999999999974</v>
      </c>
      <c r="Z8" s="7">
        <f t="shared" si="10"/>
        <v>96.84</v>
      </c>
      <c r="AA8" s="8">
        <f t="shared" si="11"/>
        <v>97.960000000000008</v>
      </c>
      <c r="AB8" s="8"/>
      <c r="AC8" s="9">
        <f t="shared" si="2"/>
        <v>34.347500000000004</v>
      </c>
      <c r="AD8" s="9">
        <f t="shared" si="12"/>
        <v>63.052500000000002</v>
      </c>
      <c r="AE8" s="9">
        <f t="shared" si="13"/>
        <v>0.56000000000000227</v>
      </c>
      <c r="AF8" s="9"/>
      <c r="AG8" s="9">
        <f t="shared" si="14"/>
        <v>35.062780726827278</v>
      </c>
      <c r="AH8" s="9">
        <f t="shared" si="15"/>
        <v>64.365557370355248</v>
      </c>
      <c r="AI8" s="9">
        <f t="shared" si="16"/>
        <v>0.57166190281747875</v>
      </c>
      <c r="AJ8" s="9"/>
      <c r="AK8" s="6">
        <f t="shared" si="17"/>
        <v>4216.8424469321162</v>
      </c>
      <c r="AL8" s="9">
        <f t="shared" si="18"/>
        <v>6.38972323535722</v>
      </c>
      <c r="AM8">
        <v>3</v>
      </c>
      <c r="AN8">
        <v>5</v>
      </c>
      <c r="AO8" s="14">
        <f t="shared" si="19"/>
        <v>31.916358192360029</v>
      </c>
      <c r="AR8" s="3" t="s">
        <v>33</v>
      </c>
    </row>
    <row r="9" spans="1:44" ht="18.75" x14ac:dyDescent="0.25">
      <c r="A9" s="19">
        <v>6</v>
      </c>
      <c r="B9" s="20"/>
      <c r="C9" s="43" t="s">
        <v>61</v>
      </c>
      <c r="D9" s="17"/>
      <c r="E9" s="17"/>
      <c r="F9" s="22">
        <v>0.48</v>
      </c>
      <c r="G9" s="40">
        <v>3.42</v>
      </c>
      <c r="H9" s="40">
        <v>34.44</v>
      </c>
      <c r="I9" s="40">
        <v>12.73</v>
      </c>
      <c r="J9" s="39">
        <v>16.84</v>
      </c>
      <c r="K9" s="40">
        <v>32.090000000000003</v>
      </c>
      <c r="L9" s="29">
        <v>38.340000000000003</v>
      </c>
      <c r="M9" s="29">
        <v>61.66</v>
      </c>
      <c r="N9" s="39"/>
      <c r="O9" s="32">
        <v>5.6603650586701431</v>
      </c>
      <c r="P9" s="36">
        <f t="shared" si="3"/>
        <v>3.2832743959803614</v>
      </c>
      <c r="Q9" s="27">
        <f t="shared" si="4"/>
        <v>48.930000000000007</v>
      </c>
      <c r="R9" s="27">
        <f t="shared" si="5"/>
        <v>32.090000000000003</v>
      </c>
      <c r="S9" s="34">
        <f t="shared" si="6"/>
        <v>4210.0000000000009</v>
      </c>
      <c r="T9" s="35">
        <f t="shared" si="7"/>
        <v>27.880000000000003</v>
      </c>
      <c r="U9" s="36">
        <f t="shared" si="8"/>
        <v>36.300000000000004</v>
      </c>
      <c r="V9" s="27"/>
      <c r="W9" s="27">
        <f t="shared" si="0"/>
        <v>99.52000000000001</v>
      </c>
      <c r="X9" s="37">
        <f t="shared" si="1"/>
        <v>96.100000000000009</v>
      </c>
      <c r="Y9" s="36">
        <f t="shared" si="9"/>
        <v>17.100000000000009</v>
      </c>
      <c r="Z9" s="7">
        <f t="shared" si="10"/>
        <v>95.245000000000005</v>
      </c>
      <c r="AA9" s="8">
        <f t="shared" si="11"/>
        <v>96.955000000000013</v>
      </c>
      <c r="AB9" s="8"/>
      <c r="AC9" s="9">
        <f t="shared" si="2"/>
        <v>36.300000000000004</v>
      </c>
      <c r="AD9" s="9">
        <f t="shared" si="12"/>
        <v>59.800000000000004</v>
      </c>
      <c r="AE9" s="9">
        <f t="shared" si="13"/>
        <v>0.85500000000000398</v>
      </c>
      <c r="AF9" s="9"/>
      <c r="AG9" s="9">
        <f t="shared" si="14"/>
        <v>37.440049507503481</v>
      </c>
      <c r="AH9" s="9">
        <f t="shared" si="15"/>
        <v>61.678098086741272</v>
      </c>
      <c r="AI9" s="9">
        <f t="shared" si="16"/>
        <v>0.88185240575525126</v>
      </c>
      <c r="AJ9" s="9"/>
      <c r="AK9" s="6">
        <f t="shared" si="17"/>
        <v>3913.747405623616</v>
      </c>
      <c r="AL9" s="9">
        <f t="shared" si="18"/>
        <v>5.6603650586701431</v>
      </c>
      <c r="AM9">
        <v>3</v>
      </c>
      <c r="AN9">
        <v>5</v>
      </c>
      <c r="AO9" s="14">
        <f t="shared" si="19"/>
        <v>32.713924961138837</v>
      </c>
      <c r="AR9" s="3" t="s">
        <v>34</v>
      </c>
    </row>
    <row r="10" spans="1:44" ht="18.75" x14ac:dyDescent="0.25">
      <c r="A10" s="19">
        <v>7</v>
      </c>
      <c r="B10" s="20"/>
      <c r="C10" s="43" t="s">
        <v>62</v>
      </c>
      <c r="D10" s="17"/>
      <c r="E10" s="17"/>
      <c r="F10" s="22">
        <v>0.94</v>
      </c>
      <c r="G10" s="40">
        <v>3.34</v>
      </c>
      <c r="H10" s="40">
        <v>33.270000000000003</v>
      </c>
      <c r="I10" s="40">
        <v>13.23</v>
      </c>
      <c r="J10" s="39">
        <v>16.419999999999998</v>
      </c>
      <c r="K10" s="40">
        <v>32.799999999999997</v>
      </c>
      <c r="L10" s="29">
        <v>37.549999999999997</v>
      </c>
      <c r="M10" s="29">
        <v>62.45</v>
      </c>
      <c r="N10" s="39"/>
      <c r="O10" s="32">
        <v>5.909322033898305</v>
      </c>
      <c r="P10" s="36">
        <f t="shared" si="3"/>
        <v>3.4276809941405482</v>
      </c>
      <c r="Q10" s="27">
        <f t="shared" si="4"/>
        <v>49.22</v>
      </c>
      <c r="R10" s="27">
        <f t="shared" si="5"/>
        <v>32.799999999999997</v>
      </c>
      <c r="S10" s="34">
        <f t="shared" si="6"/>
        <v>4105</v>
      </c>
      <c r="T10" s="35">
        <f t="shared" si="7"/>
        <v>28.694999999999997</v>
      </c>
      <c r="U10" s="36">
        <f t="shared" si="8"/>
        <v>36.905000000000001</v>
      </c>
      <c r="V10" s="27"/>
      <c r="W10" s="27">
        <f t="shared" si="0"/>
        <v>99.06</v>
      </c>
      <c r="X10" s="37">
        <f t="shared" si="1"/>
        <v>95.72</v>
      </c>
      <c r="Y10" s="36">
        <f t="shared" si="9"/>
        <v>16.700000000000017</v>
      </c>
      <c r="Z10" s="7">
        <f t="shared" si="10"/>
        <v>94.884999999999991</v>
      </c>
      <c r="AA10" s="8">
        <f t="shared" si="11"/>
        <v>96.554999999999993</v>
      </c>
      <c r="AB10" s="8"/>
      <c r="AC10" s="9">
        <f t="shared" si="2"/>
        <v>36.905000000000001</v>
      </c>
      <c r="AD10" s="9">
        <f t="shared" si="12"/>
        <v>58.814999999999998</v>
      </c>
      <c r="AE10" s="9">
        <f t="shared" si="13"/>
        <v>0.83499999999999375</v>
      </c>
      <c r="AF10" s="9"/>
      <c r="AG10" s="9">
        <f t="shared" si="14"/>
        <v>38.221738905287147</v>
      </c>
      <c r="AH10" s="9">
        <f t="shared" si="15"/>
        <v>60.913469007301536</v>
      </c>
      <c r="AI10" s="9">
        <f t="shared" si="16"/>
        <v>0.86479208741131364</v>
      </c>
      <c r="AJ10" s="9"/>
      <c r="AK10" s="6">
        <f t="shared" si="17"/>
        <v>3816.5535438865118</v>
      </c>
      <c r="AL10" s="9">
        <f t="shared" si="18"/>
        <v>5.909322033898305</v>
      </c>
      <c r="AM10">
        <v>3</v>
      </c>
      <c r="AN10">
        <v>5</v>
      </c>
      <c r="AO10" s="14">
        <f t="shared" si="19"/>
        <v>31.262708454853254</v>
      </c>
      <c r="AR10" s="3"/>
    </row>
    <row r="11" spans="1:44" ht="18.75" x14ac:dyDescent="0.25">
      <c r="A11" s="19">
        <v>8</v>
      </c>
      <c r="B11" s="20"/>
      <c r="C11" s="43" t="s">
        <v>63</v>
      </c>
      <c r="D11" s="17"/>
      <c r="E11" s="17"/>
      <c r="F11" s="22">
        <v>2.46</v>
      </c>
      <c r="G11" s="40">
        <v>9.59</v>
      </c>
      <c r="H11" s="40">
        <v>29.95</v>
      </c>
      <c r="I11" s="40">
        <v>10.199999999999999</v>
      </c>
      <c r="J11" s="39">
        <v>17.689999999999998</v>
      </c>
      <c r="K11" s="40">
        <v>30.11</v>
      </c>
      <c r="L11" s="29">
        <v>42</v>
      </c>
      <c r="M11" s="29">
        <v>58</v>
      </c>
      <c r="N11" s="39"/>
      <c r="O11" s="32">
        <v>5.3718585622443022</v>
      </c>
      <c r="P11" s="36">
        <f t="shared" si="3"/>
        <v>3.1159272402809179</v>
      </c>
      <c r="Q11" s="27">
        <f t="shared" si="4"/>
        <v>47.8</v>
      </c>
      <c r="R11" s="27">
        <f t="shared" si="5"/>
        <v>30.11</v>
      </c>
      <c r="S11" s="34">
        <f t="shared" si="6"/>
        <v>4422.4999999999991</v>
      </c>
      <c r="T11" s="35">
        <f t="shared" si="7"/>
        <v>25.6875</v>
      </c>
      <c r="U11" s="36">
        <f t="shared" si="8"/>
        <v>34.532499999999999</v>
      </c>
      <c r="V11" s="27"/>
      <c r="W11" s="27">
        <f t="shared" si="0"/>
        <v>97.539999999999992</v>
      </c>
      <c r="X11" s="37">
        <f t="shared" si="1"/>
        <v>87.949999999999989</v>
      </c>
      <c r="Y11" s="36">
        <f t="shared" si="9"/>
        <v>47.950000000000017</v>
      </c>
      <c r="Z11" s="7">
        <f t="shared" si="10"/>
        <v>85.552499999999981</v>
      </c>
      <c r="AA11" s="8">
        <f t="shared" si="11"/>
        <v>90.347499999999982</v>
      </c>
      <c r="AB11" s="8"/>
      <c r="AC11" s="9">
        <f t="shared" si="2"/>
        <v>34.532499999999999</v>
      </c>
      <c r="AD11" s="9">
        <f t="shared" si="12"/>
        <v>53.41749999999999</v>
      </c>
      <c r="AE11" s="9">
        <f t="shared" si="13"/>
        <v>2.3974999999999937</v>
      </c>
      <c r="AF11" s="9"/>
      <c r="AG11" s="9">
        <f t="shared" si="14"/>
        <v>38.221865574587014</v>
      </c>
      <c r="AH11" s="9">
        <f t="shared" si="15"/>
        <v>59.124491546528681</v>
      </c>
      <c r="AI11" s="9">
        <f t="shared" si="16"/>
        <v>2.6536428788843014</v>
      </c>
      <c r="AJ11" s="9"/>
      <c r="AK11" s="6">
        <f t="shared" si="17"/>
        <v>3816.5378930843967</v>
      </c>
      <c r="AL11" s="9">
        <f t="shared" si="18"/>
        <v>5.3718585622443022</v>
      </c>
      <c r="AM11">
        <v>3</v>
      </c>
      <c r="AN11">
        <v>5</v>
      </c>
      <c r="AO11" s="14">
        <f t="shared" si="19"/>
        <v>33.062550256526421</v>
      </c>
      <c r="AR11" s="3" t="s">
        <v>35</v>
      </c>
    </row>
    <row r="12" spans="1:44" ht="18.75" x14ac:dyDescent="0.25">
      <c r="A12" s="19">
        <v>9</v>
      </c>
      <c r="B12" s="20"/>
      <c r="C12" s="43" t="s">
        <v>64</v>
      </c>
      <c r="D12" s="17"/>
      <c r="E12" s="17"/>
      <c r="F12" s="22">
        <v>0.96</v>
      </c>
      <c r="G12" s="40">
        <v>3.53</v>
      </c>
      <c r="H12" s="40">
        <v>35.950000000000003</v>
      </c>
      <c r="I12" s="40">
        <v>12.9</v>
      </c>
      <c r="J12" s="39">
        <v>16.38</v>
      </c>
      <c r="K12" s="40">
        <v>30.28</v>
      </c>
      <c r="L12" s="29">
        <v>40.44</v>
      </c>
      <c r="M12" s="29">
        <v>59.56</v>
      </c>
      <c r="N12" s="39"/>
      <c r="O12" s="32">
        <v>5.1636469900642901</v>
      </c>
      <c r="P12" s="36">
        <f t="shared" si="3"/>
        <v>2.9951548666266183</v>
      </c>
      <c r="Q12" s="27">
        <f t="shared" si="4"/>
        <v>46.66</v>
      </c>
      <c r="R12" s="27">
        <f t="shared" si="5"/>
        <v>30.28</v>
      </c>
      <c r="S12" s="34">
        <f t="shared" si="6"/>
        <v>4094.9999999999986</v>
      </c>
      <c r="T12" s="35">
        <f t="shared" si="7"/>
        <v>26.185000000000002</v>
      </c>
      <c r="U12" s="36">
        <f t="shared" si="8"/>
        <v>34.375</v>
      </c>
      <c r="V12" s="27"/>
      <c r="W12" s="27">
        <f t="shared" si="0"/>
        <v>99.04</v>
      </c>
      <c r="X12" s="37">
        <f t="shared" si="1"/>
        <v>95.51</v>
      </c>
      <c r="Y12" s="36">
        <f t="shared" si="9"/>
        <v>17.650000000000006</v>
      </c>
      <c r="Z12" s="7">
        <f t="shared" si="10"/>
        <v>94.627499999999998</v>
      </c>
      <c r="AA12" s="8">
        <f t="shared" si="11"/>
        <v>96.392499999999998</v>
      </c>
      <c r="AB12" s="8"/>
      <c r="AC12" s="9">
        <f t="shared" si="2"/>
        <v>34.375</v>
      </c>
      <c r="AD12" s="9">
        <f t="shared" si="12"/>
        <v>61.135000000000005</v>
      </c>
      <c r="AE12" s="9">
        <f t="shared" si="13"/>
        <v>0.88249999999999318</v>
      </c>
      <c r="AF12" s="9"/>
      <c r="AG12" s="9">
        <f t="shared" si="14"/>
        <v>35.661488186321549</v>
      </c>
      <c r="AH12" s="9">
        <f t="shared" si="15"/>
        <v>63.422984153331441</v>
      </c>
      <c r="AI12" s="9">
        <f t="shared" si="16"/>
        <v>0.91552766034701161</v>
      </c>
      <c r="AJ12" s="9"/>
      <c r="AK12" s="6">
        <f t="shared" si="17"/>
        <v>4139.444102398842</v>
      </c>
      <c r="AL12" s="9">
        <f t="shared" si="18"/>
        <v>5.1636469900642901</v>
      </c>
      <c r="AM12">
        <v>3</v>
      </c>
      <c r="AN12">
        <v>5</v>
      </c>
      <c r="AO12" s="14">
        <f t="shared" si="19"/>
        <v>35.980844095182803</v>
      </c>
      <c r="AR12" s="3" t="s">
        <v>36</v>
      </c>
    </row>
    <row r="13" spans="1:44" ht="18.75" x14ac:dyDescent="0.25">
      <c r="A13" s="19">
        <v>10</v>
      </c>
      <c r="B13" s="20"/>
      <c r="C13" s="43" t="s">
        <v>65</v>
      </c>
      <c r="D13" s="17"/>
      <c r="E13" s="17"/>
      <c r="F13" s="22">
        <v>0.78</v>
      </c>
      <c r="G13" s="40">
        <v>5.22</v>
      </c>
      <c r="H13" s="40">
        <v>33.65</v>
      </c>
      <c r="I13" s="40">
        <v>12.76</v>
      </c>
      <c r="J13" s="39">
        <v>16.299999999999997</v>
      </c>
      <c r="K13" s="40">
        <v>31.29</v>
      </c>
      <c r="L13" s="29">
        <v>39.65</v>
      </c>
      <c r="M13" s="29">
        <v>60.35</v>
      </c>
      <c r="N13" s="39"/>
      <c r="O13" s="32">
        <v>5.5711864406779661</v>
      </c>
      <c r="P13" s="36">
        <f t="shared" si="3"/>
        <v>3.2315466593259665</v>
      </c>
      <c r="Q13" s="27">
        <f t="shared" si="4"/>
        <v>47.589999999999996</v>
      </c>
      <c r="R13" s="27">
        <f t="shared" si="5"/>
        <v>31.29</v>
      </c>
      <c r="S13" s="34">
        <f t="shared" si="6"/>
        <v>4074.9999999999991</v>
      </c>
      <c r="T13" s="35">
        <f t="shared" si="7"/>
        <v>27.215</v>
      </c>
      <c r="U13" s="36">
        <f t="shared" si="8"/>
        <v>35.364999999999995</v>
      </c>
      <c r="V13" s="27"/>
      <c r="W13" s="27">
        <f t="shared" si="0"/>
        <v>99.22</v>
      </c>
      <c r="X13" s="37">
        <f t="shared" si="1"/>
        <v>94</v>
      </c>
      <c r="Y13" s="36">
        <f t="shared" si="9"/>
        <v>26.099999999999994</v>
      </c>
      <c r="Z13" s="7">
        <f t="shared" si="10"/>
        <v>92.694999999999993</v>
      </c>
      <c r="AA13" s="10">
        <f t="shared" si="11"/>
        <v>95.304999999999993</v>
      </c>
      <c r="AB13" s="10"/>
      <c r="AC13" s="11">
        <f t="shared" si="2"/>
        <v>35.364999999999995</v>
      </c>
      <c r="AD13" s="9">
        <f t="shared" si="12"/>
        <v>58.635000000000005</v>
      </c>
      <c r="AE13" s="9">
        <f t="shared" si="13"/>
        <v>1.3049999999999926</v>
      </c>
      <c r="AF13" s="9"/>
      <c r="AG13" s="9">
        <f t="shared" si="14"/>
        <v>37.107182204501335</v>
      </c>
      <c r="AH13" s="9">
        <f t="shared" si="15"/>
        <v>61.52352972037145</v>
      </c>
      <c r="AI13" s="9">
        <f t="shared" si="16"/>
        <v>1.3692880751272154</v>
      </c>
      <c r="AJ13" s="9"/>
      <c r="AK13" s="6">
        <f t="shared" si="17"/>
        <v>3955.5065302577937</v>
      </c>
      <c r="AL13" s="9">
        <f t="shared" si="18"/>
        <v>5.5711864406779661</v>
      </c>
      <c r="AM13">
        <v>3</v>
      </c>
      <c r="AN13">
        <v>5</v>
      </c>
      <c r="AO13" s="14">
        <f t="shared" si="19"/>
        <v>33.290965146996776</v>
      </c>
      <c r="AR13" s="3" t="s">
        <v>37</v>
      </c>
    </row>
    <row r="14" spans="1:44" s="4" customFormat="1" ht="18.75" x14ac:dyDescent="0.25">
      <c r="A14" s="19">
        <v>11</v>
      </c>
      <c r="B14" s="20"/>
      <c r="C14" s="43" t="s">
        <v>66</v>
      </c>
      <c r="D14" s="17"/>
      <c r="E14" s="17"/>
      <c r="F14" s="22">
        <v>1.0900000000000001</v>
      </c>
      <c r="G14" s="40">
        <v>2.52</v>
      </c>
      <c r="H14" s="40">
        <v>36.79</v>
      </c>
      <c r="I14" s="40">
        <v>9.6999999999999993</v>
      </c>
      <c r="J14" s="41">
        <v>19.369999999999997</v>
      </c>
      <c r="K14" s="40">
        <v>30.53</v>
      </c>
      <c r="L14" s="29">
        <v>40.4</v>
      </c>
      <c r="M14" s="29">
        <v>59.6</v>
      </c>
      <c r="N14" s="39"/>
      <c r="O14" s="32">
        <v>6.2969128329297819</v>
      </c>
      <c r="P14" s="36">
        <f t="shared" si="3"/>
        <v>3.6525016432307318</v>
      </c>
      <c r="Q14" s="27">
        <f t="shared" si="4"/>
        <v>49.9</v>
      </c>
      <c r="R14" s="27">
        <f t="shared" si="5"/>
        <v>30.53</v>
      </c>
      <c r="S14" s="34">
        <f t="shared" si="6"/>
        <v>4842.4999999999991</v>
      </c>
      <c r="T14" s="35">
        <f t="shared" si="7"/>
        <v>25.687500000000004</v>
      </c>
      <c r="U14" s="36">
        <f t="shared" si="8"/>
        <v>35.372500000000002</v>
      </c>
      <c r="V14" s="38"/>
      <c r="W14" s="27">
        <f t="shared" si="0"/>
        <v>98.91</v>
      </c>
      <c r="X14" s="37">
        <f t="shared" si="1"/>
        <v>96.389999999999986</v>
      </c>
      <c r="Y14" s="36">
        <f t="shared" si="9"/>
        <v>12.600000000000051</v>
      </c>
      <c r="Z14" s="7">
        <f t="shared" si="10"/>
        <v>95.759999999999991</v>
      </c>
      <c r="AA14" s="10">
        <f t="shared" si="11"/>
        <v>97.02</v>
      </c>
      <c r="AB14" s="10"/>
      <c r="AC14" s="11">
        <f t="shared" si="2"/>
        <v>35.372500000000002</v>
      </c>
      <c r="AD14" s="9">
        <f t="shared" si="12"/>
        <v>61.017499999999984</v>
      </c>
      <c r="AE14" s="9">
        <f t="shared" si="13"/>
        <v>0.63000000000000966</v>
      </c>
      <c r="AF14" s="9"/>
      <c r="AG14" s="9">
        <f t="shared" si="14"/>
        <v>36.458977530406109</v>
      </c>
      <c r="AH14" s="9">
        <f t="shared" si="15"/>
        <v>62.891671820243232</v>
      </c>
      <c r="AI14" s="9">
        <f t="shared" si="16"/>
        <v>0.64935064935065934</v>
      </c>
      <c r="AJ14" s="9"/>
      <c r="AK14" s="6">
        <f t="shared" si="17"/>
        <v>4037.4615364814358</v>
      </c>
      <c r="AL14" s="9">
        <f t="shared" si="18"/>
        <v>6.2969128329297819</v>
      </c>
      <c r="AM14">
        <v>3</v>
      </c>
      <c r="AN14">
        <v>5</v>
      </c>
      <c r="AO14" s="14">
        <f t="shared" si="19"/>
        <v>31.229979830364687</v>
      </c>
      <c r="AP14" s="5"/>
      <c r="AR14" s="3" t="s">
        <v>38</v>
      </c>
    </row>
    <row r="15" spans="1:44" ht="18.75" x14ac:dyDescent="0.25">
      <c r="A15" s="19">
        <v>12</v>
      </c>
      <c r="B15" s="20"/>
      <c r="C15" s="43" t="s">
        <v>67</v>
      </c>
      <c r="D15" s="17"/>
      <c r="E15" s="17"/>
      <c r="F15" s="22">
        <v>1.6</v>
      </c>
      <c r="G15" s="40">
        <v>5.71</v>
      </c>
      <c r="H15" s="40">
        <v>33.81</v>
      </c>
      <c r="I15" s="40">
        <v>12.01</v>
      </c>
      <c r="J15" s="39">
        <v>18.39</v>
      </c>
      <c r="K15" s="40">
        <v>28.48</v>
      </c>
      <c r="L15" s="29">
        <v>41.12</v>
      </c>
      <c r="M15" s="29">
        <v>58.88</v>
      </c>
      <c r="N15" s="39"/>
      <c r="O15" s="32">
        <v>8.6245860120787068</v>
      </c>
      <c r="P15" s="36">
        <f t="shared" si="3"/>
        <v>5.0026600998136352</v>
      </c>
      <c r="Q15" s="27">
        <f t="shared" si="4"/>
        <v>46.870000000000005</v>
      </c>
      <c r="R15" s="27">
        <f t="shared" si="5"/>
        <v>28.48</v>
      </c>
      <c r="S15" s="34">
        <f t="shared" si="6"/>
        <v>4597.5000000000009</v>
      </c>
      <c r="T15" s="35">
        <f t="shared" si="7"/>
        <v>23.8825</v>
      </c>
      <c r="U15" s="36">
        <f t="shared" si="8"/>
        <v>33.077500000000001</v>
      </c>
      <c r="V15" s="27"/>
      <c r="W15" s="27">
        <f t="shared" si="0"/>
        <v>98.4</v>
      </c>
      <c r="X15" s="37">
        <f t="shared" si="1"/>
        <v>92.690000000000012</v>
      </c>
      <c r="Y15" s="36">
        <f t="shared" si="9"/>
        <v>28.549999999999969</v>
      </c>
      <c r="Z15" s="7">
        <f t="shared" si="10"/>
        <v>91.262500000000017</v>
      </c>
      <c r="AA15" s="10">
        <f t="shared" si="11"/>
        <v>94.117500000000007</v>
      </c>
      <c r="AB15" s="10"/>
      <c r="AC15" s="11">
        <f t="shared" si="2"/>
        <v>33.077500000000001</v>
      </c>
      <c r="AD15" s="9">
        <f t="shared" si="12"/>
        <v>59.612500000000011</v>
      </c>
      <c r="AE15" s="9">
        <f t="shared" si="13"/>
        <v>1.4274999999999949</v>
      </c>
      <c r="AF15" s="9"/>
      <c r="AG15" s="9">
        <f t="shared" si="14"/>
        <v>35.144898663904165</v>
      </c>
      <c r="AH15" s="9">
        <f t="shared" si="15"/>
        <v>63.338380216219093</v>
      </c>
      <c r="AI15" s="9">
        <f t="shared" si="16"/>
        <v>1.5167211198767443</v>
      </c>
      <c r="AJ15" s="9"/>
      <c r="AK15" s="6">
        <f t="shared" si="17"/>
        <v>4206.1841693152601</v>
      </c>
      <c r="AL15" s="9">
        <f t="shared" si="18"/>
        <v>8.6245860120787068</v>
      </c>
      <c r="AM15">
        <v>3</v>
      </c>
      <c r="AN15">
        <v>5</v>
      </c>
      <c r="AO15" s="14">
        <f t="shared" si="19"/>
        <v>23.494127768163953</v>
      </c>
      <c r="AP15" s="5"/>
      <c r="AR15" s="3" t="s">
        <v>39</v>
      </c>
    </row>
    <row r="16" spans="1:44" ht="18.75" x14ac:dyDescent="0.25">
      <c r="A16" s="19">
        <v>13</v>
      </c>
      <c r="B16" s="20"/>
      <c r="C16" s="43" t="s">
        <v>68</v>
      </c>
      <c r="D16" s="17"/>
      <c r="E16" s="17"/>
      <c r="F16" s="22">
        <v>1.23</v>
      </c>
      <c r="G16" s="40">
        <v>5.87</v>
      </c>
      <c r="H16" s="40">
        <v>32.29</v>
      </c>
      <c r="I16" s="40">
        <v>13.19</v>
      </c>
      <c r="J16" s="39">
        <v>19.989999999999998</v>
      </c>
      <c r="K16" s="40">
        <v>27.43</v>
      </c>
      <c r="L16" s="29">
        <v>39.39</v>
      </c>
      <c r="M16" s="29">
        <v>60.61</v>
      </c>
      <c r="N16" s="39"/>
      <c r="O16" s="32">
        <v>6.2025543089042738</v>
      </c>
      <c r="P16" s="36">
        <f t="shared" si="3"/>
        <v>3.5977693207101358</v>
      </c>
      <c r="Q16" s="27">
        <f t="shared" si="4"/>
        <v>47.42</v>
      </c>
      <c r="R16" s="27">
        <f t="shared" si="5"/>
        <v>27.43</v>
      </c>
      <c r="S16" s="34">
        <f t="shared" si="6"/>
        <v>4997.5</v>
      </c>
      <c r="T16" s="35">
        <f t="shared" si="7"/>
        <v>22.432500000000001</v>
      </c>
      <c r="U16" s="36">
        <f t="shared" si="8"/>
        <v>32.427500000000002</v>
      </c>
      <c r="V16" s="27"/>
      <c r="W16" s="27">
        <f t="shared" si="0"/>
        <v>98.769999999999982</v>
      </c>
      <c r="X16" s="37">
        <f t="shared" si="1"/>
        <v>92.9</v>
      </c>
      <c r="Y16" s="36">
        <f t="shared" si="9"/>
        <v>29.349999999999881</v>
      </c>
      <c r="Z16" s="7">
        <f t="shared" si="10"/>
        <v>91.432500000000005</v>
      </c>
      <c r="AA16" s="8">
        <f t="shared" si="11"/>
        <v>94.367499999999993</v>
      </c>
      <c r="AB16" s="8"/>
      <c r="AC16" s="9">
        <f t="shared" si="2"/>
        <v>32.427500000000002</v>
      </c>
      <c r="AD16" s="9">
        <f t="shared" si="12"/>
        <v>60.472500000000004</v>
      </c>
      <c r="AE16" s="9">
        <f t="shared" si="13"/>
        <v>1.4674999999999869</v>
      </c>
      <c r="AF16" s="9"/>
      <c r="AG16" s="9">
        <f t="shared" si="14"/>
        <v>34.362995734760382</v>
      </c>
      <c r="AH16" s="9">
        <f t="shared" si="15"/>
        <v>64.081913794473749</v>
      </c>
      <c r="AI16" s="9">
        <f t="shared" si="16"/>
        <v>1.555090470765875</v>
      </c>
      <c r="AJ16" s="9"/>
      <c r="AK16" s="6">
        <f t="shared" si="17"/>
        <v>4308.2163289150849</v>
      </c>
      <c r="AL16" s="9">
        <f t="shared" si="18"/>
        <v>6.2025543089042738</v>
      </c>
      <c r="AM16">
        <v>3</v>
      </c>
      <c r="AN16">
        <v>5</v>
      </c>
      <c r="AO16" s="14">
        <f t="shared" si="19"/>
        <v>33.156833060564708</v>
      </c>
      <c r="AR16" s="3" t="s">
        <v>40</v>
      </c>
    </row>
    <row r="17" spans="1:50" ht="18.75" x14ac:dyDescent="0.25">
      <c r="A17" s="19">
        <v>14</v>
      </c>
      <c r="B17" s="20"/>
      <c r="C17" s="43" t="s">
        <v>69</v>
      </c>
      <c r="D17" s="17"/>
      <c r="E17" s="17"/>
      <c r="F17" s="22">
        <v>0.84</v>
      </c>
      <c r="G17" s="40">
        <v>2.52</v>
      </c>
      <c r="H17" s="40">
        <v>35.99</v>
      </c>
      <c r="I17" s="40">
        <v>11.38</v>
      </c>
      <c r="J17" s="39">
        <v>18.95</v>
      </c>
      <c r="K17" s="40">
        <v>30.32</v>
      </c>
      <c r="L17" s="29">
        <v>39.35</v>
      </c>
      <c r="M17" s="29">
        <v>60.65</v>
      </c>
      <c r="N17" s="39"/>
      <c r="O17" s="32">
        <v>5.7494435884266384</v>
      </c>
      <c r="P17" s="36">
        <f t="shared" si="3"/>
        <v>3.3349440768135956</v>
      </c>
      <c r="Q17" s="27">
        <f t="shared" si="4"/>
        <v>49.269999999999996</v>
      </c>
      <c r="R17" s="27">
        <f t="shared" si="5"/>
        <v>30.32</v>
      </c>
      <c r="S17" s="34">
        <f t="shared" si="6"/>
        <v>4737.4999999999991</v>
      </c>
      <c r="T17" s="35">
        <f t="shared" si="7"/>
        <v>25.5825</v>
      </c>
      <c r="U17" s="36">
        <f t="shared" si="8"/>
        <v>35.057499999999997</v>
      </c>
      <c r="V17" s="27"/>
      <c r="W17" s="27">
        <f t="shared" si="0"/>
        <v>99.16</v>
      </c>
      <c r="X17" s="37">
        <f t="shared" si="1"/>
        <v>96.640000000000015</v>
      </c>
      <c r="Y17" s="36">
        <f t="shared" si="9"/>
        <v>12.599999999999909</v>
      </c>
      <c r="Z17" s="7">
        <f t="shared" si="10"/>
        <v>96.010000000000019</v>
      </c>
      <c r="AA17" s="8">
        <f t="shared" si="11"/>
        <v>97.27000000000001</v>
      </c>
      <c r="AB17" s="8"/>
      <c r="AC17" s="9">
        <f t="shared" si="2"/>
        <v>35.057499999999997</v>
      </c>
      <c r="AD17" s="9">
        <f t="shared" si="12"/>
        <v>61.582500000000017</v>
      </c>
      <c r="AE17" s="9">
        <f t="shared" si="13"/>
        <v>0.62999999999999545</v>
      </c>
      <c r="AF17" s="9"/>
      <c r="AG17" s="9">
        <f t="shared" si="14"/>
        <v>36.041431068160783</v>
      </c>
      <c r="AH17" s="9">
        <f t="shared" si="15"/>
        <v>63.310887221137058</v>
      </c>
      <c r="AI17" s="9">
        <f t="shared" si="16"/>
        <v>0.64768171070216451</v>
      </c>
      <c r="AJ17" s="9"/>
      <c r="AK17" s="6">
        <f t="shared" si="17"/>
        <v>4090.6985398088291</v>
      </c>
      <c r="AL17" s="9">
        <f t="shared" si="18"/>
        <v>5.7494435884266384</v>
      </c>
      <c r="AM17">
        <v>3</v>
      </c>
      <c r="AN17">
        <v>5</v>
      </c>
      <c r="AO17" s="14">
        <f t="shared" si="19"/>
        <v>33.520709297108745</v>
      </c>
      <c r="AR17" s="3" t="s">
        <v>41</v>
      </c>
    </row>
    <row r="18" spans="1:50" ht="18.75" x14ac:dyDescent="0.25">
      <c r="A18" s="19">
        <v>15</v>
      </c>
      <c r="B18" s="20"/>
      <c r="C18" s="43" t="s">
        <v>70</v>
      </c>
      <c r="D18" s="17"/>
      <c r="E18" s="17"/>
      <c r="F18" s="22">
        <v>1.01</v>
      </c>
      <c r="G18" s="40">
        <v>5.58</v>
      </c>
      <c r="H18" s="40">
        <v>36.630000000000003</v>
      </c>
      <c r="I18" s="40">
        <v>12.13</v>
      </c>
      <c r="J18" s="39">
        <v>18.95</v>
      </c>
      <c r="K18" s="40">
        <v>25.7</v>
      </c>
      <c r="L18" s="29">
        <v>43.22</v>
      </c>
      <c r="M18" s="29">
        <v>56.78</v>
      </c>
      <c r="N18" s="39"/>
      <c r="O18" s="32">
        <v>5.6822647998034883</v>
      </c>
      <c r="P18" s="36">
        <f t="shared" si="3"/>
        <v>3.2959772620669887</v>
      </c>
      <c r="Q18" s="27">
        <f t="shared" si="4"/>
        <v>44.65</v>
      </c>
      <c r="R18" s="27">
        <f t="shared" si="5"/>
        <v>25.7</v>
      </c>
      <c r="S18" s="34">
        <f t="shared" si="6"/>
        <v>4737.5</v>
      </c>
      <c r="T18" s="35">
        <f t="shared" si="7"/>
        <v>20.962499999999999</v>
      </c>
      <c r="U18" s="36">
        <f t="shared" si="8"/>
        <v>30.4375</v>
      </c>
      <c r="V18" s="27"/>
      <c r="W18" s="27">
        <f t="shared" si="0"/>
        <v>98.990000000000009</v>
      </c>
      <c r="X18" s="37">
        <f t="shared" si="1"/>
        <v>93.410000000000011</v>
      </c>
      <c r="Y18" s="36">
        <f t="shared" si="9"/>
        <v>27.899999999999991</v>
      </c>
      <c r="Z18" s="7">
        <f t="shared" si="10"/>
        <v>92.015000000000015</v>
      </c>
      <c r="AA18" s="8">
        <f t="shared" si="11"/>
        <v>94.805000000000007</v>
      </c>
      <c r="AB18" s="8"/>
      <c r="AC18" s="9">
        <f t="shared" si="2"/>
        <v>30.4375</v>
      </c>
      <c r="AD18" s="9">
        <f t="shared" si="12"/>
        <v>62.972500000000011</v>
      </c>
      <c r="AE18" s="9">
        <f t="shared" si="13"/>
        <v>1.394999999999996</v>
      </c>
      <c r="AF18" s="9"/>
      <c r="AG18" s="9">
        <f t="shared" si="14"/>
        <v>32.105374189125044</v>
      </c>
      <c r="AH18" s="9">
        <f t="shared" si="15"/>
        <v>66.423184431200895</v>
      </c>
      <c r="AI18" s="9">
        <f t="shared" si="16"/>
        <v>1.4714413796740635</v>
      </c>
      <c r="AJ18" s="9"/>
      <c r="AK18" s="6">
        <f t="shared" si="17"/>
        <v>4609.6802139987276</v>
      </c>
      <c r="AL18" s="9">
        <f t="shared" si="18"/>
        <v>5.6822647998034883</v>
      </c>
      <c r="AM18">
        <v>3</v>
      </c>
      <c r="AN18">
        <v>5</v>
      </c>
      <c r="AO18" s="14">
        <f t="shared" si="19"/>
        <v>37.104486790746769</v>
      </c>
      <c r="AR18" s="3" t="s">
        <v>42</v>
      </c>
    </row>
    <row r="19" spans="1:50" ht="18.75" x14ac:dyDescent="0.25">
      <c r="A19" s="19">
        <v>16</v>
      </c>
      <c r="B19" s="20"/>
      <c r="C19" s="43" t="s">
        <v>71</v>
      </c>
      <c r="D19" s="17"/>
      <c r="E19" s="17"/>
      <c r="F19" s="22">
        <v>0.38</v>
      </c>
      <c r="G19" s="40">
        <v>3.73</v>
      </c>
      <c r="H19" s="40">
        <v>38.18</v>
      </c>
      <c r="I19" s="40">
        <v>10.210000000000001</v>
      </c>
      <c r="J19" s="39">
        <v>17.600000000000001</v>
      </c>
      <c r="K19" s="40">
        <v>29.9</v>
      </c>
      <c r="L19" s="29">
        <v>42.29</v>
      </c>
      <c r="M19" s="29">
        <v>57.71</v>
      </c>
      <c r="N19" s="39"/>
      <c r="O19" s="32">
        <v>5.3394700954607437</v>
      </c>
      <c r="P19" s="36">
        <f t="shared" si="3"/>
        <v>3.0971404266013596</v>
      </c>
      <c r="Q19" s="27">
        <f t="shared" si="4"/>
        <v>47.5</v>
      </c>
      <c r="R19" s="27">
        <f t="shared" si="5"/>
        <v>29.9</v>
      </c>
      <c r="S19" s="34">
        <f t="shared" si="6"/>
        <v>4400</v>
      </c>
      <c r="T19" s="35">
        <f t="shared" si="7"/>
        <v>25.5</v>
      </c>
      <c r="U19" s="36">
        <f t="shared" si="8"/>
        <v>34.299999999999997</v>
      </c>
      <c r="V19" s="27"/>
      <c r="W19" s="27">
        <f t="shared" si="0"/>
        <v>99.62</v>
      </c>
      <c r="X19" s="37">
        <f t="shared" si="1"/>
        <v>95.890000000000015</v>
      </c>
      <c r="Y19" s="36">
        <f t="shared" si="9"/>
        <v>18.649999999999949</v>
      </c>
      <c r="Z19" s="7">
        <f t="shared" si="10"/>
        <v>94.95750000000001</v>
      </c>
      <c r="AA19" s="8">
        <f t="shared" si="11"/>
        <v>96.822500000000005</v>
      </c>
      <c r="AB19" s="8"/>
      <c r="AC19" s="9">
        <f t="shared" si="2"/>
        <v>34.299999999999997</v>
      </c>
      <c r="AD19" s="9">
        <f t="shared" si="12"/>
        <v>61.590000000000018</v>
      </c>
      <c r="AE19" s="9">
        <f t="shared" si="13"/>
        <v>0.93249999999999034</v>
      </c>
      <c r="AF19" s="9"/>
      <c r="AG19" s="9">
        <f t="shared" si="14"/>
        <v>35.425650029693507</v>
      </c>
      <c r="AH19" s="9">
        <f t="shared" si="15"/>
        <v>63.611247385679995</v>
      </c>
      <c r="AI19" s="9">
        <f t="shared" si="16"/>
        <v>0.96310258462649723</v>
      </c>
      <c r="AJ19" s="9"/>
      <c r="AK19" s="6">
        <f t="shared" si="17"/>
        <v>4169.8466740876211</v>
      </c>
      <c r="AL19" s="9">
        <f t="shared" si="18"/>
        <v>5.3394700954607437</v>
      </c>
      <c r="AM19">
        <v>3</v>
      </c>
      <c r="AN19">
        <v>5</v>
      </c>
      <c r="AO19" s="14">
        <f t="shared" si="19"/>
        <v>35.539885762301267</v>
      </c>
      <c r="AR19" s="3" t="s">
        <v>43</v>
      </c>
    </row>
    <row r="20" spans="1:50" ht="18.75" x14ac:dyDescent="0.25">
      <c r="A20" s="19">
        <v>17</v>
      </c>
      <c r="B20" s="20"/>
      <c r="C20" s="43" t="s">
        <v>72</v>
      </c>
      <c r="D20" s="17"/>
      <c r="E20" s="17"/>
      <c r="F20" s="22">
        <v>0.8</v>
      </c>
      <c r="G20" s="40">
        <v>4.62</v>
      </c>
      <c r="H20" s="40">
        <v>36.700000000000003</v>
      </c>
      <c r="I20" s="40">
        <v>11.89</v>
      </c>
      <c r="J20" s="39">
        <v>15.54</v>
      </c>
      <c r="K20" s="40">
        <v>30.45</v>
      </c>
      <c r="L20" s="29">
        <v>42.12</v>
      </c>
      <c r="M20" s="29">
        <v>57.88</v>
      </c>
      <c r="N20" s="39"/>
      <c r="O20" s="32">
        <v>5.1909941816342018</v>
      </c>
      <c r="P20" s="36">
        <f t="shared" si="3"/>
        <v>3.0110175067483769</v>
      </c>
      <c r="Q20" s="27">
        <f t="shared" si="4"/>
        <v>45.989999999999995</v>
      </c>
      <c r="R20" s="27">
        <f t="shared" si="5"/>
        <v>30.45</v>
      </c>
      <c r="S20" s="34">
        <f t="shared" si="6"/>
        <v>3884.9999999999986</v>
      </c>
      <c r="T20" s="35">
        <f t="shared" si="7"/>
        <v>26.565000000000001</v>
      </c>
      <c r="U20" s="36">
        <f t="shared" si="8"/>
        <v>34.335000000000001</v>
      </c>
      <c r="V20" s="27"/>
      <c r="W20" s="27">
        <f t="shared" si="0"/>
        <v>99.2</v>
      </c>
      <c r="X20" s="37">
        <f t="shared" si="1"/>
        <v>94.58</v>
      </c>
      <c r="Y20" s="36">
        <f t="shared" si="9"/>
        <v>23.100000000000023</v>
      </c>
      <c r="Z20" s="7">
        <f t="shared" si="10"/>
        <v>93.424999999999997</v>
      </c>
      <c r="AA20" s="8">
        <f t="shared" si="11"/>
        <v>95.734999999999999</v>
      </c>
      <c r="AB20" s="8"/>
      <c r="AC20" s="9">
        <f t="shared" si="2"/>
        <v>34.335000000000001</v>
      </c>
      <c r="AD20" s="9">
        <f t="shared" si="12"/>
        <v>60.244999999999997</v>
      </c>
      <c r="AE20" s="9">
        <f t="shared" si="13"/>
        <v>1.1550000000000011</v>
      </c>
      <c r="AF20" s="9"/>
      <c r="AG20" s="9">
        <f t="shared" si="14"/>
        <v>35.864626312216011</v>
      </c>
      <c r="AH20" s="9">
        <f t="shared" si="15"/>
        <v>62.928918368412802</v>
      </c>
      <c r="AI20" s="9">
        <f t="shared" si="16"/>
        <v>1.2064553193711822</v>
      </c>
      <c r="AJ20" s="9"/>
      <c r="AK20" s="6">
        <f t="shared" si="17"/>
        <v>4113.3461580716939</v>
      </c>
      <c r="AL20" s="9">
        <f t="shared" si="18"/>
        <v>5.1909941816342018</v>
      </c>
      <c r="AM20">
        <v>3</v>
      </c>
      <c r="AN20">
        <v>5</v>
      </c>
      <c r="AO20" s="14">
        <f t="shared" si="19"/>
        <v>35.700662073861473</v>
      </c>
      <c r="AR20" s="3" t="s">
        <v>44</v>
      </c>
    </row>
    <row r="21" spans="1:50" ht="18.75" x14ac:dyDescent="0.25">
      <c r="A21" s="19">
        <v>18</v>
      </c>
      <c r="B21" s="20"/>
      <c r="C21" s="43" t="s">
        <v>73</v>
      </c>
      <c r="D21" s="17"/>
      <c r="E21" s="17"/>
      <c r="F21" s="22">
        <v>0.66</v>
      </c>
      <c r="G21" s="40">
        <v>5.13</v>
      </c>
      <c r="H21" s="40">
        <v>36.29</v>
      </c>
      <c r="I21" s="40">
        <v>11.17</v>
      </c>
      <c r="J21" s="39">
        <v>18.53</v>
      </c>
      <c r="K21" s="40">
        <v>28.22</v>
      </c>
      <c r="L21" s="29">
        <v>42.08</v>
      </c>
      <c r="M21" s="29">
        <v>57.92</v>
      </c>
      <c r="N21" s="39"/>
      <c r="O21" s="32">
        <v>5.6779661016949161</v>
      </c>
      <c r="P21" s="36">
        <f t="shared" si="3"/>
        <v>3.2934838176884664</v>
      </c>
      <c r="Q21" s="27">
        <f t="shared" si="4"/>
        <v>46.75</v>
      </c>
      <c r="R21" s="27">
        <f t="shared" si="5"/>
        <v>28.22</v>
      </c>
      <c r="S21" s="34">
        <f t="shared" si="6"/>
        <v>4632.5</v>
      </c>
      <c r="T21" s="35">
        <f t="shared" si="7"/>
        <v>23.587499999999999</v>
      </c>
      <c r="U21" s="36">
        <f t="shared" si="8"/>
        <v>32.852499999999999</v>
      </c>
      <c r="V21" s="27"/>
      <c r="W21" s="27">
        <f t="shared" si="0"/>
        <v>99.34</v>
      </c>
      <c r="X21" s="37">
        <f t="shared" si="1"/>
        <v>94.210000000000008</v>
      </c>
      <c r="Y21" s="36">
        <f t="shared" si="9"/>
        <v>25.649999999999977</v>
      </c>
      <c r="Z21" s="7">
        <f t="shared" si="10"/>
        <v>92.927500000000009</v>
      </c>
      <c r="AA21" s="8">
        <f t="shared" si="11"/>
        <v>95.492500000000007</v>
      </c>
      <c r="AB21" s="8"/>
      <c r="AC21" s="9">
        <f t="shared" si="2"/>
        <v>32.852499999999999</v>
      </c>
      <c r="AD21" s="9">
        <f t="shared" si="12"/>
        <v>61.357500000000009</v>
      </c>
      <c r="AE21" s="9">
        <f t="shared" si="13"/>
        <v>1.2824999999999989</v>
      </c>
      <c r="AF21" s="9"/>
      <c r="AG21" s="9">
        <f t="shared" si="14"/>
        <v>34.403225384192467</v>
      </c>
      <c r="AH21" s="9">
        <f t="shared" si="15"/>
        <v>64.253737204492495</v>
      </c>
      <c r="AI21" s="9">
        <f t="shared" si="16"/>
        <v>1.3430374113150234</v>
      </c>
      <c r="AJ21" s="9"/>
      <c r="AK21" s="6">
        <f t="shared" si="17"/>
        <v>4302.9368399970508</v>
      </c>
      <c r="AL21" s="9">
        <f t="shared" si="18"/>
        <v>5.6779661016949161</v>
      </c>
      <c r="AM21">
        <v>3</v>
      </c>
      <c r="AN21">
        <v>5</v>
      </c>
      <c r="AO21" s="14">
        <f t="shared" si="19"/>
        <v>35.139954801227475</v>
      </c>
      <c r="AR21" s="3" t="s">
        <v>45</v>
      </c>
    </row>
    <row r="22" spans="1:50" ht="18.75" x14ac:dyDescent="0.25">
      <c r="A22" s="19">
        <v>19</v>
      </c>
      <c r="B22" s="20"/>
      <c r="C22" s="43" t="s">
        <v>74</v>
      </c>
      <c r="D22" s="17"/>
      <c r="E22" s="17"/>
      <c r="F22" s="22">
        <v>1.52</v>
      </c>
      <c r="G22" s="40">
        <v>10.199999999999999</v>
      </c>
      <c r="H22" s="40">
        <v>31.45</v>
      </c>
      <c r="I22" s="40">
        <v>11.72</v>
      </c>
      <c r="J22" s="39">
        <v>16.170000000000002</v>
      </c>
      <c r="K22" s="40">
        <v>28.94</v>
      </c>
      <c r="L22" s="29">
        <v>43.17</v>
      </c>
      <c r="M22" s="29">
        <v>56.83</v>
      </c>
      <c r="N22" s="39"/>
      <c r="O22" s="32">
        <v>4.977780074410914</v>
      </c>
      <c r="P22" s="36">
        <f t="shared" si="3"/>
        <v>2.887343430632781</v>
      </c>
      <c r="Q22" s="27">
        <f t="shared" si="4"/>
        <v>45.11</v>
      </c>
      <c r="R22" s="27">
        <f t="shared" si="5"/>
        <v>28.94</v>
      </c>
      <c r="S22" s="34">
        <f t="shared" si="6"/>
        <v>4042.4999999999995</v>
      </c>
      <c r="T22" s="35">
        <f t="shared" si="7"/>
        <v>24.897500000000001</v>
      </c>
      <c r="U22" s="36">
        <f t="shared" si="8"/>
        <v>32.982500000000002</v>
      </c>
      <c r="V22" s="27"/>
      <c r="W22" s="27">
        <f t="shared" si="0"/>
        <v>98.47999999999999</v>
      </c>
      <c r="X22" s="37">
        <f t="shared" si="1"/>
        <v>88.28</v>
      </c>
      <c r="Y22" s="36">
        <f t="shared" si="9"/>
        <v>50.999999999999943</v>
      </c>
      <c r="Z22" s="7">
        <f t="shared" si="10"/>
        <v>85.73</v>
      </c>
      <c r="AA22" s="8">
        <f t="shared" si="11"/>
        <v>90.83</v>
      </c>
      <c r="AB22" s="8"/>
      <c r="AC22" s="9">
        <f t="shared" si="2"/>
        <v>32.982500000000002</v>
      </c>
      <c r="AD22" s="9">
        <f t="shared" si="12"/>
        <v>55.297499999999999</v>
      </c>
      <c r="AE22" s="9">
        <f t="shared" si="13"/>
        <v>2.5499999999999972</v>
      </c>
      <c r="AF22" s="9"/>
      <c r="AG22" s="9">
        <f t="shared" si="14"/>
        <v>36.312341737311463</v>
      </c>
      <c r="AH22" s="9">
        <f t="shared" si="15"/>
        <v>60.880215787735324</v>
      </c>
      <c r="AI22" s="9">
        <f t="shared" si="16"/>
        <v>2.8074424749532061</v>
      </c>
      <c r="AJ22" s="9"/>
      <c r="AK22" s="6">
        <f t="shared" si="17"/>
        <v>4056.1178149849989</v>
      </c>
      <c r="AL22" s="9">
        <f t="shared" si="18"/>
        <v>4.977780074410914</v>
      </c>
      <c r="AM22">
        <v>3</v>
      </c>
      <c r="AN22">
        <v>5</v>
      </c>
      <c r="AO22" s="14">
        <f t="shared" si="19"/>
        <v>36.072503920562674</v>
      </c>
    </row>
    <row r="23" spans="1:50" ht="18.75" x14ac:dyDescent="0.25">
      <c r="A23" s="19">
        <v>20</v>
      </c>
      <c r="B23" s="20"/>
      <c r="C23" s="43" t="s">
        <v>75</v>
      </c>
      <c r="D23" s="17"/>
      <c r="E23" s="17"/>
      <c r="F23" s="22">
        <v>0.59</v>
      </c>
      <c r="G23" s="40">
        <v>4.32</v>
      </c>
      <c r="H23" s="40">
        <v>36.119999999999997</v>
      </c>
      <c r="I23" s="40">
        <v>11.3</v>
      </c>
      <c r="J23" s="39">
        <v>17.509999999999998</v>
      </c>
      <c r="K23" s="40">
        <v>30.16</v>
      </c>
      <c r="L23" s="29">
        <v>41.03</v>
      </c>
      <c r="M23" s="29">
        <v>58.97</v>
      </c>
      <c r="N23" s="39"/>
      <c r="O23" s="32">
        <v>6.0093825665859573</v>
      </c>
      <c r="P23" s="36">
        <f t="shared" si="3"/>
        <v>3.4857207462795574</v>
      </c>
      <c r="Q23" s="27">
        <f t="shared" si="4"/>
        <v>47.67</v>
      </c>
      <c r="R23" s="27">
        <f t="shared" si="5"/>
        <v>30.16</v>
      </c>
      <c r="S23" s="34">
        <f t="shared" si="6"/>
        <v>4377.5</v>
      </c>
      <c r="T23" s="35">
        <f t="shared" si="7"/>
        <v>25.782500000000002</v>
      </c>
      <c r="U23" s="36">
        <f t="shared" si="8"/>
        <v>34.537500000000001</v>
      </c>
      <c r="V23" s="27"/>
      <c r="W23" s="27">
        <f t="shared" si="0"/>
        <v>99.41</v>
      </c>
      <c r="X23" s="37">
        <f t="shared" si="1"/>
        <v>95.09</v>
      </c>
      <c r="Y23" s="36">
        <f t="shared" si="9"/>
        <v>21.599999999999966</v>
      </c>
      <c r="Z23" s="7">
        <f t="shared" si="10"/>
        <v>94.01</v>
      </c>
      <c r="AA23" s="8">
        <f t="shared" si="11"/>
        <v>96.17</v>
      </c>
      <c r="AB23" s="8"/>
      <c r="AC23" s="9">
        <f t="shared" si="2"/>
        <v>34.537500000000001</v>
      </c>
      <c r="AD23" s="9">
        <f t="shared" si="12"/>
        <v>60.552500000000002</v>
      </c>
      <c r="AE23" s="9">
        <f t="shared" si="13"/>
        <v>1.0799999999999983</v>
      </c>
      <c r="AF23" s="9"/>
      <c r="AG23" s="9">
        <f t="shared" si="14"/>
        <v>35.912966621607573</v>
      </c>
      <c r="AH23" s="9">
        <f t="shared" si="15"/>
        <v>62.964022044296563</v>
      </c>
      <c r="AI23" s="9">
        <f t="shared" si="16"/>
        <v>1.1230113340958701</v>
      </c>
      <c r="AJ23" s="9"/>
      <c r="AK23" s="6">
        <f t="shared" si="17"/>
        <v>4107.1478472431854</v>
      </c>
      <c r="AL23" s="9">
        <f t="shared" si="18"/>
        <v>6.0093825665859573</v>
      </c>
      <c r="AM23">
        <v>3</v>
      </c>
      <c r="AN23">
        <v>5</v>
      </c>
      <c r="AO23" s="14">
        <f t="shared" si="19"/>
        <v>32.678111383397976</v>
      </c>
    </row>
    <row r="24" spans="1:50" ht="18.75" x14ac:dyDescent="0.25">
      <c r="D24" s="27"/>
      <c r="E24" s="44"/>
      <c r="F24" s="9">
        <f>MIN(F4:F23)</f>
        <v>0.36</v>
      </c>
      <c r="G24" s="9">
        <f t="shared" ref="G24:K24" si="20">MIN(G4:G23)</f>
        <v>1.19</v>
      </c>
      <c r="H24" s="9">
        <f t="shared" si="20"/>
        <v>29.95</v>
      </c>
      <c r="I24" s="9">
        <f t="shared" si="20"/>
        <v>9.6999999999999993</v>
      </c>
      <c r="J24" s="9">
        <f t="shared" si="20"/>
        <v>15.54</v>
      </c>
      <c r="K24" s="9">
        <f t="shared" si="20"/>
        <v>25.7</v>
      </c>
      <c r="L24" s="25" t="s">
        <v>50</v>
      </c>
      <c r="M24" s="9">
        <f>MIN(M4:M23)</f>
        <v>56.78</v>
      </c>
      <c r="AK24" s="25" t="s">
        <v>50</v>
      </c>
      <c r="AL24" s="9">
        <f>MIN(AL4:AL23)</f>
        <v>4.977780074410914</v>
      </c>
      <c r="AN24" s="25" t="s">
        <v>50</v>
      </c>
      <c r="AO24" s="6">
        <f>MIN(AO4:AO23)</f>
        <v>22.738135684384531</v>
      </c>
    </row>
    <row r="25" spans="1:50" ht="18.75" x14ac:dyDescent="0.25">
      <c r="D25" s="27"/>
      <c r="E25" s="44"/>
      <c r="F25" s="42">
        <f>AVERAGE(F4:F23)</f>
        <v>0.90900000000000003</v>
      </c>
      <c r="G25" s="42">
        <f t="shared" ref="G25:J25" si="21">AVERAGE(G4:G23)</f>
        <v>4.3659999999999997</v>
      </c>
      <c r="H25" s="42">
        <f t="shared" si="21"/>
        <v>35.176000000000002</v>
      </c>
      <c r="I25" s="42">
        <f t="shared" si="21"/>
        <v>11.901499999999999</v>
      </c>
      <c r="J25" s="42">
        <f t="shared" si="21"/>
        <v>17.333000000000002</v>
      </c>
      <c r="K25" s="42">
        <f>AVERAGE(K4:K23)</f>
        <v>30.314500000000002</v>
      </c>
      <c r="L25" s="25" t="s">
        <v>49</v>
      </c>
      <c r="M25" s="42">
        <f>AVERAGE(M4:M23)</f>
        <v>59.548999999999999</v>
      </c>
      <c r="N25" s="42"/>
      <c r="O25" s="42">
        <f>AVERAGE(O4:O23)</f>
        <v>6.030919591180365</v>
      </c>
      <c r="AK25" s="25" t="s">
        <v>49</v>
      </c>
      <c r="AL25" s="42">
        <f>AVERAGE(AL4:AL23)</f>
        <v>6.030919591180365</v>
      </c>
      <c r="AN25" s="25" t="s">
        <v>49</v>
      </c>
      <c r="AO25" s="24">
        <f>AVERAGE(AO4:AO23)</f>
        <v>32.425105791742958</v>
      </c>
    </row>
    <row r="26" spans="1:50" ht="18.75" x14ac:dyDescent="0.25">
      <c r="D26" s="27"/>
      <c r="E26" s="44"/>
      <c r="F26" s="9">
        <f>MAX(F4:F23)</f>
        <v>2.46</v>
      </c>
      <c r="G26" s="9">
        <f t="shared" ref="G26:K26" si="22">MAX(G4:G23)</f>
        <v>10.199999999999999</v>
      </c>
      <c r="H26" s="9">
        <f t="shared" si="22"/>
        <v>38.72</v>
      </c>
      <c r="I26" s="9">
        <f t="shared" si="22"/>
        <v>13.61</v>
      </c>
      <c r="J26" s="9">
        <f t="shared" si="22"/>
        <v>19.989999999999998</v>
      </c>
      <c r="K26" s="9">
        <f t="shared" si="22"/>
        <v>35.07</v>
      </c>
      <c r="L26" s="25" t="s">
        <v>51</v>
      </c>
      <c r="M26" s="9">
        <f>MAX(M4:M23)</f>
        <v>63.17</v>
      </c>
      <c r="AK26" s="25" t="s">
        <v>51</v>
      </c>
      <c r="AL26" s="9">
        <f>MAX(AL4:AL23)</f>
        <v>8.6245860120787068</v>
      </c>
      <c r="AN26" s="25" t="s">
        <v>51</v>
      </c>
      <c r="AO26" s="6">
        <f>MAX(AO4:AO23)</f>
        <v>37.104486790746769</v>
      </c>
    </row>
    <row r="27" spans="1:50" ht="18.75" x14ac:dyDescent="0.25">
      <c r="D27" s="27"/>
      <c r="E27" s="44"/>
      <c r="F27" s="44"/>
      <c r="G27" s="44"/>
      <c r="H27" s="45"/>
      <c r="I27" s="45"/>
      <c r="J27" s="26"/>
      <c r="K27" s="26"/>
      <c r="L27" s="27"/>
    </row>
    <row r="28" spans="1:50" ht="18.75" x14ac:dyDescent="0.25">
      <c r="D28" s="27"/>
      <c r="E28" s="44"/>
      <c r="F28" s="44"/>
      <c r="G28" s="44"/>
      <c r="H28" s="45"/>
      <c r="I28" s="45"/>
      <c r="J28" s="28"/>
      <c r="K28" s="28"/>
      <c r="L28" s="27"/>
      <c r="AX28" t="s">
        <v>77</v>
      </c>
    </row>
    <row r="29" spans="1:50" ht="18.75" x14ac:dyDescent="0.25">
      <c r="D29" s="27"/>
      <c r="E29" s="44"/>
      <c r="F29" s="44"/>
      <c r="G29" s="44"/>
      <c r="H29" s="45"/>
      <c r="I29" s="45"/>
      <c r="J29" s="28"/>
      <c r="K29" s="28"/>
      <c r="L29" s="27"/>
    </row>
    <row r="30" spans="1:50" ht="30" x14ac:dyDescent="0.25">
      <c r="D30" s="27"/>
      <c r="E30" s="44"/>
      <c r="F30" s="21" t="s">
        <v>0</v>
      </c>
      <c r="G30" s="1" t="s">
        <v>1</v>
      </c>
      <c r="H30" s="1" t="s">
        <v>2</v>
      </c>
      <c r="I30" s="1" t="s">
        <v>6</v>
      </c>
      <c r="J30" s="1" t="s">
        <v>7</v>
      </c>
      <c r="K30" s="1" t="s">
        <v>8</v>
      </c>
      <c r="L30" s="27"/>
    </row>
    <row r="31" spans="1:50" ht="18.75" x14ac:dyDescent="0.25">
      <c r="D31" s="27"/>
      <c r="E31" s="44"/>
      <c r="F31" s="42">
        <v>0.90900000000000003</v>
      </c>
      <c r="G31" s="42">
        <v>4.3659999999999997</v>
      </c>
      <c r="H31" s="42">
        <v>35.176000000000002</v>
      </c>
      <c r="I31" s="42">
        <v>11.901499999999999</v>
      </c>
      <c r="J31" s="42">
        <v>17.333000000000002</v>
      </c>
      <c r="K31" s="42">
        <v>30.314500000000002</v>
      </c>
      <c r="L31" s="27"/>
    </row>
    <row r="32" spans="1:50" ht="18.75" x14ac:dyDescent="0.25">
      <c r="D32" s="27"/>
      <c r="E32" s="44"/>
      <c r="F32" s="44"/>
      <c r="G32" s="44"/>
      <c r="H32" s="45"/>
      <c r="I32" s="45"/>
      <c r="J32" s="28"/>
      <c r="K32" s="28"/>
      <c r="L32" s="27"/>
    </row>
    <row r="33" spans="4:12" ht="18.75" x14ac:dyDescent="0.25">
      <c r="D33" s="27"/>
      <c r="E33" s="44"/>
      <c r="F33" s="44"/>
      <c r="G33" s="44"/>
      <c r="H33" s="45"/>
      <c r="I33" s="45"/>
      <c r="J33" s="28"/>
      <c r="K33" s="28"/>
      <c r="L33" s="27"/>
    </row>
    <row r="34" spans="4:12" ht="18.75" x14ac:dyDescent="0.25">
      <c r="D34" s="27"/>
      <c r="E34" s="44"/>
      <c r="F34" s="44"/>
      <c r="G34" s="44"/>
      <c r="H34" s="45"/>
      <c r="I34" s="45"/>
      <c r="J34" s="28"/>
      <c r="K34" s="28"/>
      <c r="L34" s="27"/>
    </row>
    <row r="35" spans="4:12" ht="18.75" x14ac:dyDescent="0.25">
      <c r="D35" s="27"/>
      <c r="E35" s="44"/>
      <c r="F35" s="44"/>
      <c r="G35" s="44"/>
      <c r="H35" s="45"/>
      <c r="I35" s="45"/>
      <c r="J35" s="28"/>
      <c r="K35" s="28"/>
      <c r="L35" s="27"/>
    </row>
    <row r="36" spans="4:12" ht="18.75" x14ac:dyDescent="0.25">
      <c r="D36" s="27"/>
      <c r="E36" s="44"/>
      <c r="F36" s="44"/>
      <c r="G36" s="44"/>
      <c r="H36" s="45"/>
      <c r="I36" s="45"/>
      <c r="J36" s="28"/>
      <c r="K36" s="28"/>
      <c r="L36" s="27"/>
    </row>
    <row r="37" spans="4:12" ht="18.75" x14ac:dyDescent="0.25">
      <c r="D37" s="27"/>
      <c r="E37" s="44"/>
      <c r="F37" s="44"/>
      <c r="G37" s="44"/>
      <c r="H37" s="45"/>
      <c r="I37" s="45"/>
      <c r="J37" s="28"/>
      <c r="K37" s="28"/>
      <c r="L37" s="27"/>
    </row>
    <row r="38" spans="4:12" ht="18.75" x14ac:dyDescent="0.25">
      <c r="D38" s="27"/>
      <c r="E38" s="44"/>
      <c r="F38" s="44"/>
      <c r="G38" s="44"/>
      <c r="H38" s="45"/>
      <c r="I38" s="45"/>
      <c r="J38" s="28"/>
      <c r="K38" s="28"/>
      <c r="L38" s="27"/>
    </row>
    <row r="39" spans="4:12" ht="18.75" x14ac:dyDescent="0.25">
      <c r="D39" s="27"/>
      <c r="E39" s="44"/>
      <c r="F39" s="44"/>
      <c r="G39" s="44"/>
      <c r="H39" s="45"/>
      <c r="I39" s="45"/>
      <c r="J39" s="28"/>
      <c r="K39" s="28"/>
      <c r="L39" s="27"/>
    </row>
    <row r="40" spans="4:12" ht="18.75" x14ac:dyDescent="0.25">
      <c r="D40" s="27"/>
      <c r="E40" s="44"/>
      <c r="F40" s="44"/>
      <c r="G40" s="44"/>
      <c r="H40" s="45"/>
      <c r="I40" s="45"/>
      <c r="J40" s="28"/>
      <c r="K40" s="28"/>
      <c r="L40" s="27"/>
    </row>
    <row r="41" spans="4:12" ht="18.75" x14ac:dyDescent="0.25">
      <c r="D41" s="27"/>
      <c r="E41" s="44"/>
      <c r="F41" s="44"/>
      <c r="G41" s="44"/>
      <c r="H41" s="45"/>
      <c r="I41" s="45"/>
      <c r="J41" s="28"/>
      <c r="K41" s="28"/>
      <c r="L41" s="27"/>
    </row>
    <row r="42" spans="4:12" ht="18.75" x14ac:dyDescent="0.25">
      <c r="D42" s="27"/>
      <c r="E42" s="44"/>
      <c r="F42" s="44"/>
      <c r="G42" s="44"/>
      <c r="H42" s="45"/>
      <c r="I42" s="45"/>
      <c r="J42" s="28"/>
      <c r="K42" s="28"/>
      <c r="L42" s="27"/>
    </row>
    <row r="43" spans="4:12" ht="18.75" x14ac:dyDescent="0.25">
      <c r="D43" s="27"/>
      <c r="E43" s="44"/>
      <c r="F43" s="44"/>
      <c r="G43" s="44"/>
      <c r="H43" s="45"/>
      <c r="I43" s="45"/>
      <c r="J43" s="28"/>
      <c r="K43" s="28"/>
      <c r="L43" s="27"/>
    </row>
    <row r="44" spans="4:12" x14ac:dyDescent="0.25">
      <c r="D44" s="27"/>
      <c r="E44" s="27"/>
      <c r="F44" s="46"/>
      <c r="G44" s="27"/>
      <c r="H44" s="27"/>
      <c r="I44" s="27"/>
      <c r="J44" s="28"/>
      <c r="K44" s="28"/>
      <c r="L44" s="27"/>
    </row>
    <row r="45" spans="4:12" x14ac:dyDescent="0.25">
      <c r="D45" s="27"/>
      <c r="E45" s="27"/>
      <c r="F45" s="46"/>
      <c r="G45" s="27"/>
      <c r="H45" s="27"/>
      <c r="I45" s="27"/>
      <c r="J45" s="27"/>
    </row>
  </sheetData>
  <mergeCells count="3">
    <mergeCell ref="A1:M2"/>
    <mergeCell ref="AN2:AO2"/>
    <mergeCell ref="AG1:AI1"/>
  </mergeCells>
  <conditionalFormatting sqref="AO4:AO23 AO2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5:O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5:K2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1:K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1506-326D-48CB-9242-3B64D91F2260}">
  <dimension ref="A1:B21"/>
  <sheetViews>
    <sheetView zoomScale="80" zoomScaleNormal="80" workbookViewId="0">
      <selection activeCell="I13" sqref="I13"/>
    </sheetView>
  </sheetViews>
  <sheetFormatPr defaultRowHeight="15" x14ac:dyDescent="0.25"/>
  <sheetData>
    <row r="1" spans="1:2" x14ac:dyDescent="0.25">
      <c r="A1" t="s">
        <v>76</v>
      </c>
      <c r="B1" t="s">
        <v>46</v>
      </c>
    </row>
    <row r="2" spans="1:2" x14ac:dyDescent="0.25">
      <c r="A2" t="s">
        <v>56</v>
      </c>
      <c r="B2">
        <v>27.018385684384526</v>
      </c>
    </row>
    <row r="3" spans="1:2" x14ac:dyDescent="0.25">
      <c r="A3" t="s">
        <v>57</v>
      </c>
      <c r="B3">
        <v>34.343713771927121</v>
      </c>
    </row>
    <row r="4" spans="1:2" x14ac:dyDescent="0.25">
      <c r="A4" t="s">
        <v>58</v>
      </c>
      <c r="B4">
        <v>35.580264994434067</v>
      </c>
    </row>
    <row r="5" spans="1:2" x14ac:dyDescent="0.25">
      <c r="A5" t="s">
        <v>59</v>
      </c>
      <c r="B5">
        <v>36.816145588755525</v>
      </c>
    </row>
    <row r="6" spans="1:2" x14ac:dyDescent="0.25">
      <c r="A6" t="s">
        <v>60</v>
      </c>
      <c r="B6">
        <v>36.196608192360024</v>
      </c>
    </row>
    <row r="7" spans="1:2" x14ac:dyDescent="0.25">
      <c r="A7" t="s">
        <v>61</v>
      </c>
      <c r="B7">
        <v>36.994174961138832</v>
      </c>
    </row>
    <row r="8" spans="1:2" x14ac:dyDescent="0.25">
      <c r="A8" t="s">
        <v>62</v>
      </c>
      <c r="B8">
        <v>35.542958454853242</v>
      </c>
    </row>
    <row r="9" spans="1:2" x14ac:dyDescent="0.25">
      <c r="A9" t="s">
        <v>63</v>
      </c>
      <c r="B9">
        <v>37.342800256526431</v>
      </c>
    </row>
    <row r="10" spans="1:2" x14ac:dyDescent="0.25">
      <c r="A10" t="s">
        <v>64</v>
      </c>
      <c r="B10">
        <v>40.261094095182813</v>
      </c>
    </row>
    <row r="11" spans="1:2" x14ac:dyDescent="0.25">
      <c r="A11" t="s">
        <v>65</v>
      </c>
      <c r="B11">
        <v>37.571215146996771</v>
      </c>
    </row>
    <row r="12" spans="1:2" x14ac:dyDescent="0.25">
      <c r="A12" t="s">
        <v>66</v>
      </c>
      <c r="B12">
        <v>35.510229830364693</v>
      </c>
    </row>
    <row r="13" spans="1:2" x14ac:dyDescent="0.25">
      <c r="A13" t="s">
        <v>67</v>
      </c>
      <c r="B13">
        <v>27.774377768163955</v>
      </c>
    </row>
    <row r="14" spans="1:2" x14ac:dyDescent="0.25">
      <c r="A14" t="s">
        <v>68</v>
      </c>
      <c r="B14">
        <v>37.43708306056471</v>
      </c>
    </row>
    <row r="15" spans="1:2" x14ac:dyDescent="0.25">
      <c r="A15" t="s">
        <v>69</v>
      </c>
      <c r="B15">
        <v>37.800959297108747</v>
      </c>
    </row>
    <row r="16" spans="1:2" x14ac:dyDescent="0.25">
      <c r="A16" t="s">
        <v>70</v>
      </c>
      <c r="B16">
        <v>41.384736790746764</v>
      </c>
    </row>
    <row r="17" spans="1:2" x14ac:dyDescent="0.25">
      <c r="A17" t="s">
        <v>71</v>
      </c>
      <c r="B17">
        <v>39.82013576230127</v>
      </c>
    </row>
    <row r="18" spans="1:2" x14ac:dyDescent="0.25">
      <c r="A18" t="s">
        <v>72</v>
      </c>
      <c r="B18">
        <v>39.980912073861468</v>
      </c>
    </row>
    <row r="19" spans="1:2" x14ac:dyDescent="0.25">
      <c r="A19" t="s">
        <v>73</v>
      </c>
      <c r="B19">
        <v>39.42020480122747</v>
      </c>
    </row>
    <row r="20" spans="1:2" x14ac:dyDescent="0.25">
      <c r="A20" t="s">
        <v>74</v>
      </c>
      <c r="B20">
        <v>40.35275392056267</v>
      </c>
    </row>
    <row r="21" spans="1:2" x14ac:dyDescent="0.25">
      <c r="A21" t="s">
        <v>75</v>
      </c>
      <c r="B21">
        <v>36.958361383397978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Мишина</dc:creator>
  <cp:lastModifiedBy>andrei</cp:lastModifiedBy>
  <dcterms:created xsi:type="dcterms:W3CDTF">2021-05-24T10:04:08Z</dcterms:created>
  <dcterms:modified xsi:type="dcterms:W3CDTF">2026-03-18T12:31:12Z</dcterms:modified>
</cp:coreProperties>
</file>